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ouma\Downloads\"/>
    </mc:Choice>
  </mc:AlternateContent>
  <bookViews>
    <workbookView xWindow="0" yWindow="0" windowWidth="20490" windowHeight="7530" tabRatio="500"/>
  </bookViews>
  <sheets>
    <sheet name="BILAN " sheetId="1" r:id="rId1"/>
    <sheet name="C.RESULTAT" sheetId="5" r:id="rId2"/>
    <sheet name="TFT" sheetId="6" r:id="rId3"/>
    <sheet name="Accords de classement" sheetId="7" r:id="rId4"/>
    <sheet name="Ratios " sheetId="8" r:id="rId5"/>
    <sheet name="Résume Financier" sheetId="9" r:id="rId6"/>
  </sheets>
  <externalReferences>
    <externalReference r:id="rId7"/>
  </externalReferences>
  <calcPr calcId="162913"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D42" i="9" l="1"/>
  <c r="C42" i="9"/>
  <c r="D41" i="9"/>
  <c r="C41" i="9"/>
  <c r="D40" i="9"/>
  <c r="C40" i="9"/>
  <c r="D34" i="9"/>
  <c r="E34" i="9"/>
  <c r="C34" i="9"/>
  <c r="D33" i="9"/>
  <c r="E33" i="9"/>
  <c r="C33" i="9"/>
  <c r="D32" i="9"/>
  <c r="E32" i="9"/>
  <c r="C32" i="9"/>
  <c r="D31" i="9"/>
  <c r="E31" i="9"/>
  <c r="C31" i="9"/>
  <c r="D30" i="9"/>
  <c r="E30" i="9"/>
  <c r="D29" i="9"/>
  <c r="E29" i="9"/>
  <c r="D28" i="9"/>
  <c r="E28" i="9"/>
  <c r="C29" i="9"/>
  <c r="C28" i="9"/>
  <c r="D27" i="9"/>
  <c r="E27" i="9"/>
  <c r="D26" i="9"/>
  <c r="E26" i="9"/>
  <c r="C26" i="9"/>
  <c r="C27" i="9"/>
  <c r="D25" i="9"/>
  <c r="E25" i="9"/>
  <c r="C25" i="9"/>
  <c r="D24" i="9"/>
  <c r="E24" i="9"/>
  <c r="C24" i="9"/>
  <c r="D23" i="9"/>
  <c r="E23" i="9"/>
  <c r="C23" i="9"/>
  <c r="D22" i="9"/>
  <c r="E22" i="9"/>
  <c r="C22" i="9"/>
  <c r="D21" i="9"/>
  <c r="E21" i="9"/>
  <c r="C21" i="9"/>
  <c r="D20" i="9"/>
  <c r="E20" i="9"/>
  <c r="C20" i="9"/>
  <c r="D18" i="9"/>
  <c r="E18" i="9"/>
  <c r="C18" i="9"/>
  <c r="D17" i="9"/>
  <c r="E17" i="9"/>
  <c r="C17" i="9"/>
  <c r="D16" i="9"/>
  <c r="E16" i="9"/>
  <c r="C16" i="9"/>
  <c r="D13" i="9"/>
  <c r="E13" i="9"/>
  <c r="C13" i="9"/>
  <c r="D12" i="9"/>
  <c r="E12" i="9"/>
  <c r="C12" i="9"/>
  <c r="D11" i="9"/>
  <c r="E11" i="9"/>
  <c r="C11" i="9"/>
  <c r="J41" i="6"/>
  <c r="K41" i="6"/>
  <c r="I41" i="6"/>
  <c r="D10" i="9"/>
  <c r="D19" i="9" s="1"/>
  <c r="E10" i="9"/>
  <c r="E19" i="9" s="1"/>
  <c r="C10" i="9"/>
  <c r="C19" i="9" s="1"/>
  <c r="D9" i="9"/>
  <c r="E9" i="9"/>
  <c r="C9" i="9"/>
  <c r="D8" i="9"/>
  <c r="E8" i="9"/>
  <c r="C8" i="9"/>
  <c r="D7" i="9"/>
  <c r="E7" i="9"/>
  <c r="C7" i="9"/>
  <c r="D1" i="9"/>
  <c r="D15" i="9" s="1"/>
  <c r="E1" i="9"/>
  <c r="E15" i="9" s="1"/>
  <c r="C1" i="9"/>
  <c r="C15" i="9" s="1"/>
  <c r="D6" i="9"/>
  <c r="E6" i="9"/>
  <c r="C6" i="9"/>
  <c r="D5" i="9"/>
  <c r="E5" i="9"/>
  <c r="C5" i="9"/>
  <c r="D4" i="9"/>
  <c r="E4" i="9"/>
  <c r="D3" i="9" l="1"/>
  <c r="E3" i="9"/>
  <c r="C3" i="9"/>
  <c r="D2" i="9"/>
  <c r="E2" i="9"/>
  <c r="D7" i="7"/>
  <c r="C7" i="7"/>
  <c r="D6" i="7"/>
  <c r="C6" i="7"/>
  <c r="D4" i="7"/>
  <c r="C4" i="7"/>
  <c r="D3" i="7"/>
  <c r="C3" i="7"/>
  <c r="D6" i="8"/>
  <c r="E6" i="8"/>
  <c r="D5" i="8"/>
  <c r="E5" i="8"/>
  <c r="C5" i="8"/>
  <c r="D4" i="8"/>
  <c r="E4" i="8"/>
  <c r="C4" i="8"/>
  <c r="D2" i="8"/>
  <c r="E2" i="8"/>
  <c r="C2" i="8"/>
  <c r="D3" i="8"/>
  <c r="E3" i="8"/>
  <c r="C3" i="8"/>
  <c r="J6" i="5"/>
  <c r="K6" i="5"/>
  <c r="I6" i="5"/>
  <c r="H11" i="1" l="1"/>
  <c r="H34" i="1"/>
  <c r="H32" i="1"/>
  <c r="P33" i="1"/>
  <c r="O33" i="1"/>
  <c r="N33" i="1"/>
  <c r="I33" i="1"/>
  <c r="G33" i="1"/>
  <c r="F33" i="1"/>
  <c r="H31" i="1"/>
  <c r="H30" i="1"/>
  <c r="J33" i="1" s="1"/>
  <c r="P29" i="1"/>
  <c r="O29" i="1"/>
  <c r="N29" i="1"/>
  <c r="H28" i="1"/>
  <c r="H27" i="1"/>
  <c r="H26" i="1"/>
  <c r="J25" i="1"/>
  <c r="J29" i="1" s="1"/>
  <c r="I25" i="1"/>
  <c r="I29" i="1" s="1"/>
  <c r="H25" i="1"/>
  <c r="G25" i="1"/>
  <c r="G29" i="1" s="1"/>
  <c r="F25" i="1"/>
  <c r="F29" i="1" s="1"/>
  <c r="H24" i="1"/>
  <c r="H23" i="1"/>
  <c r="H29" i="1" s="1"/>
  <c r="P21" i="1"/>
  <c r="O21" i="1"/>
  <c r="N21" i="1"/>
  <c r="H21" i="1"/>
  <c r="H20" i="1"/>
  <c r="J19" i="1" s="1"/>
  <c r="I19" i="1"/>
  <c r="G19" i="1"/>
  <c r="F19" i="1"/>
  <c r="H18" i="1"/>
  <c r="P17" i="1"/>
  <c r="O17" i="1"/>
  <c r="O22" i="1" s="1"/>
  <c r="O35" i="1" s="1"/>
  <c r="N17" i="1"/>
  <c r="H17" i="1"/>
  <c r="H16" i="1"/>
  <c r="H15" i="1"/>
  <c r="H14" i="1"/>
  <c r="H13" i="1"/>
  <c r="J12" i="1"/>
  <c r="I12" i="1"/>
  <c r="G12" i="1"/>
  <c r="F12" i="1"/>
  <c r="H10" i="1"/>
  <c r="H9" i="1"/>
  <c r="H8" i="1"/>
  <c r="J7" i="1"/>
  <c r="I7" i="1"/>
  <c r="I22" i="1" s="1"/>
  <c r="I35" i="1" s="1"/>
  <c r="G7" i="1"/>
  <c r="F7" i="1"/>
  <c r="F22" i="1" s="1"/>
  <c r="F35" i="1" s="1"/>
  <c r="P4" i="1"/>
  <c r="O4" i="1"/>
  <c r="N4" i="1"/>
  <c r="K47" i="5"/>
  <c r="J47" i="5"/>
  <c r="I47" i="5"/>
  <c r="K41" i="5"/>
  <c r="J41" i="5"/>
  <c r="I41" i="5"/>
  <c r="K16" i="5"/>
  <c r="K30" i="5" s="1"/>
  <c r="K32" i="5" s="1"/>
  <c r="K35" i="5" s="1"/>
  <c r="J16" i="5"/>
  <c r="J30" i="5" s="1"/>
  <c r="J32" i="5" s="1"/>
  <c r="J35" i="5" s="1"/>
  <c r="J42" i="5" s="1"/>
  <c r="I16" i="5"/>
  <c r="I30" i="5" s="1"/>
  <c r="I32" i="5" s="1"/>
  <c r="I35" i="5" s="1"/>
  <c r="K12" i="5"/>
  <c r="J12" i="5"/>
  <c r="I12" i="5"/>
  <c r="K37" i="6"/>
  <c r="J37" i="6"/>
  <c r="I37" i="6"/>
  <c r="K32" i="6"/>
  <c r="K38" i="6" s="1"/>
  <c r="J32" i="6"/>
  <c r="J38" i="6" s="1"/>
  <c r="I32" i="6"/>
  <c r="I38" i="6" s="1"/>
  <c r="K26" i="6"/>
  <c r="J26" i="6"/>
  <c r="I26" i="6"/>
  <c r="E18" i="6"/>
  <c r="C18" i="6"/>
  <c r="E7" i="7"/>
  <c r="G7" i="7"/>
  <c r="E6" i="7"/>
  <c r="G6" i="7"/>
  <c r="E5" i="7"/>
  <c r="E4" i="7"/>
  <c r="G4" i="7"/>
  <c r="E3" i="7"/>
  <c r="F5" i="8"/>
  <c r="F4" i="8"/>
  <c r="F3" i="8"/>
  <c r="B14" i="9"/>
  <c r="G13" i="9"/>
  <c r="F13" i="9"/>
  <c r="G12" i="9"/>
  <c r="G11" i="9"/>
  <c r="F11" i="9"/>
  <c r="K19" i="6"/>
  <c r="K39" i="6" s="1"/>
  <c r="K40" i="6" s="1"/>
  <c r="G3" i="9"/>
  <c r="F3" i="9"/>
  <c r="G2" i="9"/>
  <c r="C5" i="7" l="1"/>
  <c r="G5" i="7" s="1"/>
  <c r="I19" i="6"/>
  <c r="I39" i="6" s="1"/>
  <c r="G4" i="9"/>
  <c r="F5" i="9"/>
  <c r="G5" i="9"/>
  <c r="G6" i="9"/>
  <c r="F7" i="9"/>
  <c r="G7" i="9"/>
  <c r="G8" i="9"/>
  <c r="F9" i="9"/>
  <c r="G9" i="9"/>
  <c r="G10" i="9"/>
  <c r="D5" i="7"/>
  <c r="J19" i="6"/>
  <c r="J39" i="6" s="1"/>
  <c r="J40" i="6" s="1"/>
  <c r="I42" i="5"/>
  <c r="I50" i="5" s="1"/>
  <c r="K42" i="5"/>
  <c r="K50" i="5" s="1"/>
  <c r="J50" i="5"/>
  <c r="I40" i="6"/>
  <c r="N22" i="1"/>
  <c r="N35" i="1" s="1"/>
  <c r="P22" i="1"/>
  <c r="P35" i="1" s="1"/>
  <c r="I36" i="1"/>
  <c r="J22" i="1"/>
  <c r="G22" i="1"/>
  <c r="G35" i="1" s="1"/>
  <c r="H12" i="1"/>
  <c r="H7" i="1"/>
  <c r="J35" i="1"/>
  <c r="H33" i="1"/>
  <c r="H19" i="1"/>
  <c r="G16" i="9"/>
  <c r="C39" i="9"/>
  <c r="G17" i="9"/>
  <c r="G18" i="9"/>
  <c r="F19" i="9"/>
  <c r="G19" i="9"/>
  <c r="G20" i="9"/>
  <c r="F21" i="9"/>
  <c r="G21" i="9"/>
  <c r="F22" i="9"/>
  <c r="G22" i="9"/>
  <c r="F23" i="9"/>
  <c r="G23" i="9"/>
  <c r="G24" i="9"/>
  <c r="G25" i="9"/>
  <c r="F26" i="9"/>
  <c r="G26" i="9"/>
  <c r="G27" i="9"/>
  <c r="F28" i="9"/>
  <c r="G28" i="9"/>
  <c r="G29" i="9"/>
  <c r="G30" i="9"/>
  <c r="G31" i="9"/>
  <c r="F32" i="9"/>
  <c r="G32" i="9"/>
  <c r="G33" i="9"/>
  <c r="F34" i="9"/>
  <c r="G34" i="9"/>
  <c r="F6" i="9"/>
  <c r="F8" i="9"/>
  <c r="F10" i="9"/>
  <c r="F12" i="9"/>
  <c r="F16" i="9"/>
  <c r="F18" i="9"/>
  <c r="F20" i="9"/>
  <c r="F24" i="9"/>
  <c r="F25" i="9"/>
  <c r="F27" i="9"/>
  <c r="F29" i="9"/>
  <c r="F31" i="9"/>
  <c r="F33" i="9"/>
  <c r="D39" i="9"/>
  <c r="F17" i="9"/>
  <c r="J36" i="1" l="1"/>
  <c r="H22" i="1"/>
  <c r="C30" i="9" s="1"/>
  <c r="F30" i="9" s="1"/>
  <c r="C4" i="9" l="1"/>
  <c r="F4" i="9" s="1"/>
  <c r="C6" i="8"/>
  <c r="H35" i="1"/>
  <c r="H36" i="1" l="1"/>
  <c r="C2" i="9"/>
  <c r="F2" i="9" s="1"/>
</calcChain>
</file>

<file path=xl/comments1.xml><?xml version="1.0" encoding="utf-8"?>
<comments xmlns="http://schemas.openxmlformats.org/spreadsheetml/2006/main">
  <authors>
    <author xml:space="preserve"> MAKAYA YVES ROLAND KOUIKADO</author>
  </authors>
  <commentList>
    <comment ref="F2" authorId="0" shapeId="0">
      <text>
        <r>
          <rPr>
            <b/>
            <sz val="9"/>
            <color indexed="81"/>
            <rFont val="Tahoma"/>
            <family val="2"/>
          </rPr>
          <t xml:space="preserve"> SOUMAHORO:
</t>
        </r>
        <r>
          <rPr>
            <sz val="9"/>
            <color indexed="81"/>
            <rFont val="Tahoma"/>
            <family val="2"/>
          </rPr>
          <t xml:space="preserve">
Risque appreciable au cas par cas en fonction du type d'activité,</t>
        </r>
      </text>
    </comment>
    <comment ref="F6" authorId="0" shapeId="0">
      <text>
        <r>
          <rPr>
            <b/>
            <sz val="9"/>
            <color indexed="81"/>
            <rFont val="Tahoma"/>
            <family val="2"/>
          </rPr>
          <t xml:space="preserve"> SOUMAHORO:
</t>
        </r>
        <r>
          <rPr>
            <sz val="9"/>
            <color indexed="81"/>
            <rFont val="Tahoma"/>
            <family val="2"/>
          </rPr>
          <t xml:space="preserve">
Norme de 60% pour les entreprises et 40% pour le négoce.
Pour un bon équilibre financier </t>
        </r>
      </text>
    </comment>
  </commentList>
</comments>
</file>

<file path=xl/comments2.xml><?xml version="1.0" encoding="utf-8"?>
<comments xmlns="http://schemas.openxmlformats.org/spreadsheetml/2006/main">
  <authors>
    <author xml:space="preserve"> MAKAYA YVES ROLAND KOUIKADO</author>
  </authors>
  <commentList>
    <comment ref="E4" authorId="0" shapeId="0">
      <text>
        <r>
          <rPr>
            <b/>
            <sz val="9"/>
            <color indexed="81"/>
            <rFont val="Tahoma"/>
            <family val="2"/>
          </rPr>
          <t xml:space="preserve"> MAKAYA YVES ROLAND KOUIKADO:
</t>
        </r>
        <r>
          <rPr>
            <sz val="9"/>
            <color indexed="81"/>
            <rFont val="Tahoma"/>
            <family val="2"/>
          </rPr>
          <t xml:space="preserve">
Les FR doit être positif et  couvrir 2/3 du BFR.</t>
        </r>
      </text>
    </comment>
    <comment ref="E32" authorId="0" shapeId="0">
      <text>
        <r>
          <rPr>
            <b/>
            <sz val="9"/>
            <color indexed="81"/>
            <rFont val="Tahoma"/>
            <family val="2"/>
          </rPr>
          <t xml:space="preserve"> MAKAYA YVES ROLAND KOUIKADO: </t>
        </r>
        <r>
          <rPr>
            <sz val="9"/>
            <color indexed="81"/>
            <rFont val="Tahoma"/>
            <family val="2"/>
          </rPr>
          <t xml:space="preserve">
Délais moyen.
</t>
        </r>
        <r>
          <rPr>
            <b/>
            <u/>
            <sz val="9"/>
            <color indexed="81"/>
            <rFont val="Tahoma"/>
            <family val="2"/>
          </rPr>
          <t>Signaux d'alerte</t>
        </r>
        <r>
          <rPr>
            <sz val="9"/>
            <color indexed="81"/>
            <rFont val="Tahoma"/>
            <family val="2"/>
          </rPr>
          <t xml:space="preserve">
Un allongement des délais Clients, FRS et de stockage.
</t>
        </r>
      </text>
    </comment>
  </commentList>
</comments>
</file>

<file path=xl/sharedStrings.xml><?xml version="1.0" encoding="utf-8"?>
<sst xmlns="http://schemas.openxmlformats.org/spreadsheetml/2006/main" count="499" uniqueCount="416">
  <si>
    <t>ACTIF</t>
  </si>
  <si>
    <t>31/12/N</t>
  </si>
  <si>
    <t>31/12/N-1</t>
  </si>
  <si>
    <t>31/12/N-2</t>
  </si>
  <si>
    <t>REF</t>
  </si>
  <si>
    <t>NOTE</t>
  </si>
  <si>
    <t>BRUT</t>
  </si>
  <si>
    <t>NET</t>
  </si>
  <si>
    <t>AG</t>
  </si>
  <si>
    <t>AH</t>
  </si>
  <si>
    <t>Frais de développement et de prospection</t>
  </si>
  <si>
    <t>AI</t>
  </si>
  <si>
    <t>Brevets, licences, logiciels et droits similaires</t>
  </si>
  <si>
    <t>AJ</t>
  </si>
  <si>
    <t>Fonds commercial et droit au bail</t>
  </si>
  <si>
    <t>AK</t>
  </si>
  <si>
    <t>AL</t>
  </si>
  <si>
    <t>AM</t>
  </si>
  <si>
    <t>AN</t>
  </si>
  <si>
    <t>AP</t>
  </si>
  <si>
    <t>Matériel, mobilier et actifs biologiques</t>
  </si>
  <si>
    <t>AQ</t>
  </si>
  <si>
    <t>Matériel de transport</t>
  </si>
  <si>
    <t>AR</t>
  </si>
  <si>
    <t>AS</t>
  </si>
  <si>
    <t>Titres de participation</t>
  </si>
  <si>
    <t>AZ</t>
  </si>
  <si>
    <t>BA</t>
  </si>
  <si>
    <t>BB</t>
  </si>
  <si>
    <t>STOCKS ET ENCOURS</t>
  </si>
  <si>
    <t>BG</t>
  </si>
  <si>
    <t>BH</t>
  </si>
  <si>
    <t>BI</t>
  </si>
  <si>
    <t>Clients</t>
  </si>
  <si>
    <t>BJ</t>
  </si>
  <si>
    <t>BK</t>
  </si>
  <si>
    <t>BQ</t>
  </si>
  <si>
    <t>Titres de placement</t>
  </si>
  <si>
    <t>BR</t>
  </si>
  <si>
    <t>Valeurs à encaisser</t>
  </si>
  <si>
    <t>BS</t>
  </si>
  <si>
    <t>Banques, chèques postaux, caisse et assimilés</t>
  </si>
  <si>
    <t>BT</t>
  </si>
  <si>
    <t>BU</t>
  </si>
  <si>
    <t>BZ</t>
  </si>
  <si>
    <t>PASSIF</t>
  </si>
  <si>
    <t>CA</t>
  </si>
  <si>
    <t>Capital</t>
  </si>
  <si>
    <t>CB</t>
  </si>
  <si>
    <t>Apporteurs capital non appelé (-)</t>
  </si>
  <si>
    <t>Primes liées au capital social</t>
  </si>
  <si>
    <t>CD</t>
  </si>
  <si>
    <t>CE</t>
  </si>
  <si>
    <t>Réserves indisponibles</t>
  </si>
  <si>
    <t>CF</t>
  </si>
  <si>
    <t>Réserves libres</t>
  </si>
  <si>
    <t>CG</t>
  </si>
  <si>
    <t>Report à nouveau (+ ou -)</t>
  </si>
  <si>
    <t>CH</t>
  </si>
  <si>
    <t>Résultat net de l'exercice (bénéfice + ou perte -)</t>
  </si>
  <si>
    <t>CJ</t>
  </si>
  <si>
    <t>CP</t>
  </si>
  <si>
    <t>DA</t>
  </si>
  <si>
    <t>Emprunts et dettes financières diverses</t>
  </si>
  <si>
    <t>DB</t>
  </si>
  <si>
    <t>Dettes de location-acquisition</t>
  </si>
  <si>
    <t>DC</t>
  </si>
  <si>
    <t>Provisions pour risques et charges</t>
  </si>
  <si>
    <t>DF</t>
  </si>
  <si>
    <t>DH</t>
  </si>
  <si>
    <t>Dettes circulantes HAO</t>
  </si>
  <si>
    <t>DI</t>
  </si>
  <si>
    <t>Clients, avances reçues</t>
  </si>
  <si>
    <t>DJ</t>
  </si>
  <si>
    <t>Fournisseurs d'exploitation</t>
  </si>
  <si>
    <t>DK</t>
  </si>
  <si>
    <t>Dettes fiscales et sociales</t>
  </si>
  <si>
    <t>Autres dettes</t>
  </si>
  <si>
    <t>DM</t>
  </si>
  <si>
    <t>Provisions pour risques et charges à court terme</t>
  </si>
  <si>
    <t>DP</t>
  </si>
  <si>
    <t>DQ</t>
  </si>
  <si>
    <t>DT</t>
  </si>
  <si>
    <t>DV</t>
  </si>
  <si>
    <t>DZ</t>
  </si>
  <si>
    <t>RA</t>
  </si>
  <si>
    <t>A</t>
  </si>
  <si>
    <t>Ventes de marchandises</t>
  </si>
  <si>
    <t>+</t>
  </si>
  <si>
    <t>RB</t>
  </si>
  <si>
    <t>Achats de marchandises</t>
  </si>
  <si>
    <t>-</t>
  </si>
  <si>
    <t>RC</t>
  </si>
  <si>
    <t>Variation de stocks de marchandises</t>
  </si>
  <si>
    <t>XA</t>
  </si>
  <si>
    <t>RE</t>
  </si>
  <si>
    <t>B</t>
  </si>
  <si>
    <t>Ventes de produits fabriqués</t>
  </si>
  <si>
    <t>RF</t>
  </si>
  <si>
    <t>Travaux, services vendus</t>
  </si>
  <si>
    <t>RG</t>
  </si>
  <si>
    <t>Production stockée (ou déstockage)</t>
  </si>
  <si>
    <t>RH</t>
  </si>
  <si>
    <t>Production immobilisée</t>
  </si>
  <si>
    <t>RI</t>
  </si>
  <si>
    <t>Produits accessoires</t>
  </si>
  <si>
    <t>TA</t>
  </si>
  <si>
    <t>TB</t>
  </si>
  <si>
    <t>TC</t>
  </si>
  <si>
    <t>TD</t>
  </si>
  <si>
    <t>TE</t>
  </si>
  <si>
    <t>TF</t>
  </si>
  <si>
    <t>Autres produits</t>
  </si>
  <si>
    <t>TG</t>
  </si>
  <si>
    <t>TH</t>
  </si>
  <si>
    <t>RD</t>
  </si>
  <si>
    <t>Impôts et taxes</t>
  </si>
  <si>
    <t>Autres charges</t>
  </si>
  <si>
    <t>Charges de personnel</t>
  </si>
  <si>
    <t>RJ</t>
  </si>
  <si>
    <t>XB</t>
  </si>
  <si>
    <t>TK</t>
  </si>
  <si>
    <t>Revenus financiers et assimilés</t>
  </si>
  <si>
    <t>TL</t>
  </si>
  <si>
    <t>RM</t>
  </si>
  <si>
    <t>Frais financiers et charges assimilées</t>
  </si>
  <si>
    <t>RN</t>
  </si>
  <si>
    <t>XC</t>
  </si>
  <si>
    <t>XD</t>
  </si>
  <si>
    <t>TM</t>
  </si>
  <si>
    <t>Produits des cessions d'immobilisations</t>
  </si>
  <si>
    <t>TN</t>
  </si>
  <si>
    <t>RO</t>
  </si>
  <si>
    <t>RP</t>
  </si>
  <si>
    <t>XE</t>
  </si>
  <si>
    <t>RQ</t>
  </si>
  <si>
    <t>Participation des travailleurs</t>
  </si>
  <si>
    <t>RS</t>
  </si>
  <si>
    <t>Impôts sur le résultat</t>
  </si>
  <si>
    <t>XI</t>
  </si>
  <si>
    <t>ZA</t>
  </si>
  <si>
    <t>Flux de trésorerie provenant des activités opérationnelles</t>
  </si>
  <si>
    <t>FA</t>
  </si>
  <si>
    <t>Capacité d'Autofinancement Globale (CAFG)</t>
  </si>
  <si>
    <t>FB</t>
  </si>
  <si>
    <t>FC</t>
  </si>
  <si>
    <t>FD</t>
  </si>
  <si>
    <t>FE</t>
  </si>
  <si>
    <t>ZB</t>
  </si>
  <si>
    <t>FF</t>
  </si>
  <si>
    <t>FG</t>
  </si>
  <si>
    <t>FH</t>
  </si>
  <si>
    <t>FI</t>
  </si>
  <si>
    <t>ZC</t>
  </si>
  <si>
    <t>C</t>
  </si>
  <si>
    <t>FJ</t>
  </si>
  <si>
    <t>FK</t>
  </si>
  <si>
    <t>FL</t>
  </si>
  <si>
    <t>FM</t>
  </si>
  <si>
    <t>FN</t>
  </si>
  <si>
    <t>FO</t>
  </si>
  <si>
    <t>FP</t>
  </si>
  <si>
    <t>FQ</t>
  </si>
  <si>
    <t>ZD</t>
  </si>
  <si>
    <t>D</t>
  </si>
  <si>
    <t>ZE</t>
  </si>
  <si>
    <t>E</t>
  </si>
  <si>
    <t>ZF</t>
  </si>
  <si>
    <t>F</t>
  </si>
  <si>
    <t>ZG</t>
  </si>
  <si>
    <t>DR</t>
  </si>
  <si>
    <t>3C&amp;28</t>
  </si>
  <si>
    <t>3D</t>
  </si>
  <si>
    <t>MARGE  COMMERCIALE  (Somme TA à RB)</t>
  </si>
  <si>
    <t>CHIFFRE D'AFFAIRES (A + B + C + D)</t>
  </si>
  <si>
    <t>Subventions d’exploitation</t>
  </si>
  <si>
    <t>Transferts de charges d'exploitation</t>
  </si>
  <si>
    <t>Achats de matières premières et fournitures liées</t>
  </si>
  <si>
    <t>Variation de stocks de matières premières et fournitures liées</t>
  </si>
  <si>
    <t>Autres achats</t>
  </si>
  <si>
    <t>Variation de stocks d’autres approvisionnements</t>
  </si>
  <si>
    <t>Transports</t>
  </si>
  <si>
    <t>Services extérieurs</t>
  </si>
  <si>
    <t>VALEUR AJOUTEE (XB +RA+RB) + (somme TE à RJ)</t>
  </si>
  <si>
    <t>EXCEDENT BRUT D'EXPLOITATION (XC+RK)</t>
  </si>
  <si>
    <t>Reprises d’amortissements, provisions et dépréciations</t>
  </si>
  <si>
    <t>Dotations aux amortissements, aux provisions et dépréciations</t>
  </si>
  <si>
    <t>RESULTAT D'EXPLOITATION (XD+TJ+ RL)</t>
  </si>
  <si>
    <t>Reprises de provisions  et dépréciations financières</t>
  </si>
  <si>
    <t>Transferts de charges financières</t>
  </si>
  <si>
    <t>Dotations aux provisions et aux dépréciations financières</t>
  </si>
  <si>
    <t>RESULTAT  FINANCIER  (somme TK à RN)</t>
  </si>
  <si>
    <t>RESULTAT  DES ACTIVITES ORDINAIRES (XE+XF)</t>
  </si>
  <si>
    <t>Autres Produits HAO</t>
  </si>
  <si>
    <t>Valeurs comptables des cessions d'immobilisations</t>
  </si>
  <si>
    <t>Autres Charges HAO</t>
  </si>
  <si>
    <t>RESULTAT HORS ACTIVITES ORDINAIRES (somme TN à RP)</t>
  </si>
  <si>
    <t>RESULTAT NET (XG+XH+RQ+RS)</t>
  </si>
  <si>
    <t>-/+</t>
  </si>
  <si>
    <t>LIBELLES</t>
  </si>
  <si>
    <t>(2)</t>
  </si>
  <si>
    <t>NET (1)</t>
  </si>
  <si>
    <t>TI</t>
  </si>
  <si>
    <t>RK</t>
  </si>
  <si>
    <t>TJ</t>
  </si>
  <si>
    <t>RL</t>
  </si>
  <si>
    <t>XF</t>
  </si>
  <si>
    <t>XG</t>
  </si>
  <si>
    <t>TO</t>
  </si>
  <si>
    <t>XH</t>
  </si>
  <si>
    <t>BILAN</t>
  </si>
  <si>
    <t>AMORT et 
DEPREC.</t>
  </si>
  <si>
    <t>AD</t>
  </si>
  <si>
    <t>IMMOBILISATIONS  INCORPORELLES</t>
  </si>
  <si>
    <t>3</t>
  </si>
  <si>
    <t>AE</t>
  </si>
  <si>
    <t>AF</t>
  </si>
  <si>
    <t>Ecarts de réévaluation</t>
  </si>
  <si>
    <t>3e</t>
  </si>
  <si>
    <t>Autres  immobilisations incorporelles</t>
  </si>
  <si>
    <t>IMMOBILISATIONS  CORPORELLES</t>
  </si>
  <si>
    <r>
      <rPr>
        <sz val="10"/>
        <color theme="1"/>
        <rFont val="Arial"/>
        <family val="2"/>
      </rPr>
      <t>Terrains (1)</t>
    </r>
    <r>
      <rPr>
        <i/>
        <sz val="10"/>
        <color theme="1"/>
        <rFont val="Arial"/>
        <family val="2"/>
      </rPr>
      <t xml:space="preserve">
dont Placement Net :</t>
    </r>
  </si>
  <si>
    <r>
      <rPr>
        <sz val="10"/>
        <color theme="1"/>
        <rFont val="Arial"/>
        <family val="2"/>
      </rPr>
      <t>Bâtiments(1)</t>
    </r>
    <r>
      <rPr>
        <i/>
        <sz val="10"/>
        <color theme="1"/>
        <rFont val="Arial"/>
        <family val="2"/>
      </rPr>
      <t xml:space="preserve">
dont Placement Net :</t>
    </r>
  </si>
  <si>
    <t>Aménagements,  agencements  et installations</t>
  </si>
  <si>
    <t>CL</t>
  </si>
  <si>
    <t>Subventions  d'investissement</t>
  </si>
  <si>
    <t>CM</t>
  </si>
  <si>
    <t>Provisions  réglementées</t>
  </si>
  <si>
    <t>TOTAL  CAPITAUX PROPRES ET  RESSOURCES ASSIMILEES</t>
  </si>
  <si>
    <t>AVANCES ET ACOMPTES VERSES SUR IMMOBILISATIONS</t>
  </si>
  <si>
    <t>IMMOBILISATIONS  FINANCIERES</t>
  </si>
  <si>
    <t>Autres  immobilisations financières</t>
  </si>
  <si>
    <t>DD</t>
  </si>
  <si>
    <t>TOTAL  DETTES FINANCIERES ET  RESSOURCES ASSIMILEES</t>
  </si>
  <si>
    <t>TOTAL  ACTIF IMMOBILISE</t>
  </si>
  <si>
    <t>TOTAL  RESSOURCES STABLES</t>
  </si>
  <si>
    <t>ACTIF  CIRCULANT HAO</t>
  </si>
  <si>
    <t>CREANCES ET  EMPLOIS ASSIMILES</t>
  </si>
  <si>
    <t>Fournisseurs avances versées</t>
  </si>
  <si>
    <t>Autres  créances</t>
  </si>
  <si>
    <t>DN</t>
  </si>
  <si>
    <t>TOTAL  ACTIF CIRCULANT</t>
  </si>
  <si>
    <t>TOTAL  PASSIF CIRCULANT</t>
  </si>
  <si>
    <t>Banques,  crédits d'escompte</t>
  </si>
  <si>
    <t>Banques, établissements financiers
et crédits de trésorerie</t>
  </si>
  <si>
    <t>TOTAL   TRESORERIE-ACTIF</t>
  </si>
  <si>
    <t>TOTAL   TRESORERIE-PASSIF</t>
  </si>
  <si>
    <t>Ecart de conversion-Actif</t>
  </si>
  <si>
    <t>Ecart de conversion-Passif</t>
  </si>
  <si>
    <t>TOTAL GENERAL</t>
  </si>
  <si>
    <t>Contrôle</t>
  </si>
  <si>
    <t>Exercice clos le :</t>
  </si>
  <si>
    <t>Durée (en mois) :</t>
  </si>
  <si>
    <t>COMPTE DE RESULTAT</t>
  </si>
  <si>
    <t>(1):</t>
  </si>
  <si>
    <t>Les montants seront précédés de signes (+) ou (-) en fonction de leurs soldes dans la balance générale:</t>
  </si>
  <si>
    <t>(+/-) : Solde débiteur "(-)", solde créditeur "(+)"</t>
  </si>
  <si>
    <t>(2):</t>
  </si>
  <si>
    <t>Les signes de cette colonne sont indicateurs du sens structurel des soldes,</t>
  </si>
  <si>
    <t>ils ne jouent pas le rôle de signes opérateurs.</t>
  </si>
  <si>
    <t>- 0 -</t>
  </si>
  <si>
    <t>FLUX DE TRESORERIE SYSTEME NORMAL 
PAGE 1/1</t>
  </si>
  <si>
    <t>TABLEAU DES FLUX DE TRESORERIE</t>
  </si>
  <si>
    <t>EXERCICE</t>
  </si>
  <si>
    <t>N</t>
  </si>
  <si>
    <t>N-1</t>
  </si>
  <si>
    <t>N-2</t>
  </si>
  <si>
    <r>
      <t xml:space="preserve">Trésorerie nette au 1er janvier
</t>
    </r>
    <r>
      <rPr>
        <sz val="9"/>
        <color theme="1"/>
        <rFont val="Arial"/>
        <family val="2"/>
      </rPr>
      <t>(Trésorerie actif N-1 - Trésorerie passif N-1)</t>
    </r>
  </si>
  <si>
    <t>- Variation d'actif circulant HAO (1)</t>
  </si>
  <si>
    <t>- Variation des stocks</t>
  </si>
  <si>
    <t>-  Variation des créances</t>
  </si>
  <si>
    <t>+ Variation du passif circulant (1)</t>
  </si>
  <si>
    <t>Variation du BF lié aux activités opérationnelles</t>
  </si>
  <si>
    <t>FB+FC+FD+FE :</t>
  </si>
  <si>
    <t>Flux de trésorerie provenant des activités opérationnelles  (Somme FA à FE)</t>
  </si>
  <si>
    <t>Flux de trésorerie provenant des activités d’investissements</t>
  </si>
  <si>
    <t>- Décaissements liés aux acquisitions d'immobilisations incorporelles</t>
  </si>
  <si>
    <t>- Décaissements liés aux acquisitions d'immobilisations corporelles</t>
  </si>
  <si>
    <t>- Décaissements liés aux acquisitions d'immobilisations financières</t>
  </si>
  <si>
    <t>+ Encaissements liés aux cessions d’immobilisations incorporelles et corporelles</t>
  </si>
  <si>
    <t>+ Encaissements liés aux cessions d’immobilisations financières</t>
  </si>
  <si>
    <t>Flux de trésorerie provenant des activités d’investissement (somme FF à FJ)</t>
  </si>
  <si>
    <t>Flux de trésorerie provenant du financement par les capitaux propres</t>
  </si>
  <si>
    <t>+ Augmentations de capital par apports nouveaux</t>
  </si>
  <si>
    <t>+ Subventions d'investissement reçues</t>
  </si>
  <si>
    <t>- Prélèvements sur le capital</t>
  </si>
  <si>
    <t>- Dividendes versés</t>
  </si>
  <si>
    <t>Flux de trésorerie provenant des capitaux propres (somme FK à FN)</t>
  </si>
  <si>
    <t>Trésorerie provenant du financement par les capitaux étrangers</t>
  </si>
  <si>
    <t>+ Emprunts (2)</t>
  </si>
  <si>
    <t>+ Autres dettes financières diverses (3)</t>
  </si>
  <si>
    <t>- Remboursements des emprunts et autres dettes financières</t>
  </si>
  <si>
    <t>Flux de trésorerie provenant des capitaux étrangers (somme FO à FQ)</t>
  </si>
  <si>
    <t>Flux de trésorerie provenant des activités de financement (D+E)</t>
  </si>
  <si>
    <t>VARIATION DE LA TRÉSORERIE NETTE DE LA PÉRIODE (B+C+F)</t>
  </si>
  <si>
    <t>G</t>
  </si>
  <si>
    <t>ZH</t>
  </si>
  <si>
    <t>Trésorerie nette au 31 Décembre (G+A)</t>
  </si>
  <si>
    <t>H</t>
  </si>
  <si>
    <t>Contrôle : Trésorerie actif N - Trésorerie passif N</t>
  </si>
  <si>
    <t>(1)</t>
  </si>
  <si>
    <t xml:space="preserve">A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</si>
  <si>
    <t>Comptes 161,  162, 1661, 1662</t>
  </si>
  <si>
    <t>(3)</t>
  </si>
  <si>
    <t>Comptes 16 sauf Comptes (161,  162, 1661, 1662) et comptes 18</t>
  </si>
  <si>
    <t xml:space="preserve">ACCORD DE CLASSEMENT BCEAO : RATIOS DE DECISION  </t>
  </si>
  <si>
    <t>RATIOS</t>
  </si>
  <si>
    <t>FORMULES</t>
  </si>
  <si>
    <t>NORME</t>
  </si>
  <si>
    <t>OBSERVATION</t>
  </si>
  <si>
    <t>AUTONOMIE FINANCIERE</t>
  </si>
  <si>
    <t>Ressources propres / Total Passif</t>
  </si>
  <si>
    <t>Minimum 20%</t>
  </si>
  <si>
    <t>CAPACITE DE REMBOURSEMENT</t>
  </si>
  <si>
    <t>Dettes financières et ressources assimilées / CAF</t>
  </si>
  <si>
    <t>Inférieur ou égal à 4</t>
  </si>
  <si>
    <t>RENTABILITE</t>
  </si>
  <si>
    <t>Résultat net / CA hors taxes</t>
  </si>
  <si>
    <t>Supérieur à 0</t>
  </si>
  <si>
    <t>LIQUIDITE GENERALE</t>
  </si>
  <si>
    <t>Total Actif circulant net incluant le total Trésorerie Actif / Total Passif circulant incluant le total Trésorerie Passif</t>
  </si>
  <si>
    <t>Supérieur à 1</t>
  </si>
  <si>
    <t>ACCORD DE CLASSEMENT BCEAO : RATIOS D'OBSERVATION</t>
  </si>
  <si>
    <r>
      <t>ROTATION DES STOCKS</t>
    </r>
    <r>
      <rPr>
        <i/>
        <sz val="8"/>
        <color indexed="8"/>
        <rFont val="Arial"/>
        <family val="2"/>
      </rPr>
      <t xml:space="preserve"> </t>
    </r>
  </si>
  <si>
    <t>(Stock moyen de matières premières / Achats de matières premières HT)x360</t>
  </si>
  <si>
    <t>DELAI CLIENTS</t>
  </si>
  <si>
    <t>((Clients - Avances reçues de la clientèle) / Chiffre d'affaires TTC)*360</t>
  </si>
  <si>
    <t>DELAI FOURNISSEURS</t>
  </si>
  <si>
    <t>((Fournisseurs d'exploitation - Avances versées sur commandes)/Achats TTC)x360</t>
  </si>
  <si>
    <t>RATIO D'EQUILIBRE FINANCIER</t>
  </si>
  <si>
    <t>Fonds de roulement / Besoin de financement global</t>
  </si>
  <si>
    <t>Données financières I</t>
  </si>
  <si>
    <t>Variations %</t>
  </si>
  <si>
    <t>Total Bilan</t>
  </si>
  <si>
    <t>Fonds Propres Nets</t>
  </si>
  <si>
    <t>Fonds de roulement</t>
  </si>
  <si>
    <t>Dettes financières inclus Hors bilan</t>
  </si>
  <si>
    <t>Autonomie Financière (Capitaux propres/Endettement total)</t>
  </si>
  <si>
    <t>Chiffre d’affaires</t>
  </si>
  <si>
    <t>Excédent Brut d’Exploitation (EBE)</t>
  </si>
  <si>
    <t>Résultat d’Exploitation (EBIT)</t>
  </si>
  <si>
    <t>Cash Flow (CAF)</t>
  </si>
  <si>
    <t>Résultat Net</t>
  </si>
  <si>
    <t>Durée de remboursement Dettes (Dettes Fin/EBIT) [années]</t>
  </si>
  <si>
    <t>Couverture Intérêts (EBIT/Charges Intérêts) [x]</t>
  </si>
  <si>
    <t>Données financières II</t>
  </si>
  <si>
    <t xml:space="preserve">Chiffre d’affaires </t>
  </si>
  <si>
    <t>Excédent Brut Exploitation (EBE)</t>
  </si>
  <si>
    <t>Résultat Exploitation (REX)</t>
  </si>
  <si>
    <t>Cash Flow</t>
  </si>
  <si>
    <t>Frais financiers</t>
  </si>
  <si>
    <t>Total Dettes financières et ressources assimilées</t>
  </si>
  <si>
    <t>Dettes Financières/Total Bilan</t>
  </si>
  <si>
    <t>Fonds Propres</t>
  </si>
  <si>
    <t>Fonds Propres/Dettes Financières</t>
  </si>
  <si>
    <t>Frais Financiers/Chiffre d’affaires</t>
  </si>
  <si>
    <t>Frais financiers/(REX) (frais fin/Resul exploi)</t>
  </si>
  <si>
    <t>Poste Client</t>
  </si>
  <si>
    <t>Fournisseurs</t>
  </si>
  <si>
    <t>Besoin fonds de roulement</t>
  </si>
  <si>
    <t>Rotation du stock</t>
  </si>
  <si>
    <t>Délai fournisseur</t>
  </si>
  <si>
    <t>Délai Client</t>
  </si>
  <si>
    <r>
      <t xml:space="preserve">Risk </t>
    </r>
    <r>
      <rPr>
        <b/>
        <sz val="12"/>
        <color rgb="FF000000"/>
        <rFont val="Arial"/>
        <family val="2"/>
      </rPr>
      <t>Asset Acceptance Criteria (RAAC/CARC)</t>
    </r>
  </si>
  <si>
    <t>Minimum</t>
  </si>
  <si>
    <t>Maximum</t>
  </si>
  <si>
    <t>Tiers I</t>
  </si>
  <si>
    <t>Tiers II</t>
  </si>
  <si>
    <t>Tiers III</t>
  </si>
  <si>
    <t>Moyenne calculée 
sur les données du secteur comme Norme</t>
  </si>
  <si>
    <r>
      <t xml:space="preserve">EBITDA (EBE)/CA 
(rentabilité op %) </t>
    </r>
    <r>
      <rPr>
        <sz val="8"/>
        <color theme="1"/>
        <rFont val="Arial"/>
        <family val="2"/>
      </rPr>
      <t>(qui permet de mesurer le niveau de rentabilité du processus d’exploitation d’une entreprise</t>
    </r>
    <r>
      <rPr>
        <b/>
        <sz val="8"/>
        <color theme="1"/>
        <rFont val="Arial"/>
        <family val="2"/>
      </rPr>
      <t>)</t>
    </r>
  </si>
  <si>
    <r>
      <t>Capitaux propres/Capitaux permanents</t>
    </r>
    <r>
      <rPr>
        <b/>
        <u/>
        <sz val="8"/>
        <color theme="1"/>
        <rFont val="Arial"/>
        <family val="2"/>
      </rPr>
      <t>Autonomie fin</t>
    </r>
    <r>
      <rPr>
        <b/>
        <sz val="8"/>
        <color theme="1"/>
        <rFont val="Arial"/>
        <family val="2"/>
      </rPr>
      <t xml:space="preserve"> (</t>
    </r>
    <r>
      <rPr>
        <sz val="8"/>
        <color theme="1"/>
        <rFont val="Arial"/>
        <family val="2"/>
      </rPr>
      <t>qui permet de connaitre la capacité de l'entreprise à se financer par ses propres moyens)</t>
    </r>
  </si>
  <si>
    <t>&gt; 20 %</t>
  </si>
  <si>
    <t>&gt; 30 %</t>
  </si>
  <si>
    <t>&gt; 50 %</t>
  </si>
  <si>
    <r>
      <t xml:space="preserve">Dettes financières et ressources Ass / CAF  </t>
    </r>
    <r>
      <rPr>
        <sz val="9"/>
        <color theme="1"/>
        <rFont val="Arial"/>
        <family val="2"/>
      </rPr>
      <t>(ratio de capacité de remboursement): pour évaluer votre capacité à rembourser vos dettes.</t>
    </r>
  </si>
  <si>
    <t>&lt;= 2</t>
  </si>
  <si>
    <t>&lt;= 3</t>
  </si>
  <si>
    <t>&lt;= 4</t>
  </si>
  <si>
    <r>
      <t xml:space="preserve">Ratio de liquidité générale: </t>
    </r>
    <r>
      <rPr>
        <sz val="9"/>
        <color theme="1"/>
        <rFont val="Arial"/>
        <family val="2"/>
      </rPr>
      <t>qui permet de mesurer la capacité de l’entreprise à rembourser ses dettes à court terme</t>
    </r>
  </si>
  <si>
    <t>Min=1</t>
  </si>
  <si>
    <t>Critère Target Market</t>
  </si>
  <si>
    <t>Tiering du secteur</t>
  </si>
  <si>
    <r>
      <t>-</t>
    </r>
    <r>
      <rPr>
        <sz val="7"/>
        <color theme="1"/>
        <rFont val="Times New Roman"/>
        <family val="1"/>
      </rPr>
      <t xml:space="preserve">   </t>
    </r>
    <r>
      <rPr>
        <sz val="9"/>
        <color theme="1"/>
        <rFont val="Arial"/>
        <family val="2"/>
      </rPr>
      <t>Respect critères des Entreprises Multinationales et Régionales (voir Segmentation)</t>
    </r>
  </si>
  <si>
    <r>
      <t>-</t>
    </r>
    <r>
      <rPr>
        <sz val="7"/>
        <color theme="1"/>
        <rFont val="Times New Roman"/>
        <family val="1"/>
      </rPr>
      <t xml:space="preserve">        </t>
    </r>
    <r>
      <rPr>
        <sz val="9"/>
        <color theme="1"/>
        <rFont val="Arial"/>
        <family val="2"/>
      </rPr>
      <t>Respect des critères de Grandes Entreprises Locales et Entreprises Intermédiaires</t>
    </r>
  </si>
  <si>
    <t>- Min CA Confié 50%</t>
  </si>
  <si>
    <r>
      <t>-</t>
    </r>
    <r>
      <rPr>
        <sz val="7"/>
        <color theme="1"/>
        <rFont val="Times New Roman"/>
        <family val="1"/>
      </rPr>
      <t xml:space="preserve">   </t>
    </r>
    <r>
      <rPr>
        <sz val="9"/>
        <color theme="1"/>
        <rFont val="Arial"/>
        <family val="2"/>
      </rPr>
      <t>Etats Financiers Certifiés, prévisions et projections financières</t>
    </r>
  </si>
  <si>
    <r>
      <t>-</t>
    </r>
    <r>
      <rPr>
        <sz val="7"/>
        <color theme="1"/>
        <rFont val="Times New Roman"/>
        <family val="1"/>
      </rPr>
      <t xml:space="preserve">        </t>
    </r>
    <r>
      <rPr>
        <sz val="9"/>
        <color theme="1"/>
        <rFont val="Arial"/>
        <family val="2"/>
      </rPr>
      <t>Etats financiers Audités (certifié ou non), prévisions et projections financières</t>
    </r>
  </si>
  <si>
    <t>- Etats financiers certifiés ou non</t>
  </si>
  <si>
    <r>
      <t>-</t>
    </r>
    <r>
      <rPr>
        <sz val="7"/>
        <color theme="1"/>
        <rFont val="Times New Roman"/>
        <family val="1"/>
      </rPr>
      <t xml:space="preserve">   </t>
    </r>
    <r>
      <rPr>
        <sz val="9"/>
        <color theme="1"/>
        <rFont val="Arial"/>
        <family val="2"/>
      </rPr>
      <t>Activité de détail ou de Gros</t>
    </r>
  </si>
  <si>
    <r>
      <t>-</t>
    </r>
    <r>
      <rPr>
        <sz val="7"/>
        <color theme="1"/>
        <rFont val="Times New Roman"/>
        <family val="1"/>
      </rPr>
      <t xml:space="preserve">        </t>
    </r>
    <r>
      <rPr>
        <sz val="9"/>
        <color theme="1"/>
        <rFont val="Arial"/>
        <family val="2"/>
      </rPr>
      <t>Existence d’un agrément</t>
    </r>
  </si>
  <si>
    <t>- Plan de trésorerie</t>
  </si>
  <si>
    <r>
      <t>-</t>
    </r>
    <r>
      <rPr>
        <sz val="7"/>
        <color theme="1"/>
        <rFont val="Times New Roman"/>
        <family val="1"/>
      </rPr>
      <t xml:space="preserve">   </t>
    </r>
    <r>
      <rPr>
        <sz val="9"/>
        <color theme="1"/>
        <rFont val="Arial"/>
        <family val="2"/>
      </rPr>
      <t>Remplissant le KYC du Groupe</t>
    </r>
  </si>
  <si>
    <r>
      <t>-</t>
    </r>
    <r>
      <rPr>
        <sz val="7"/>
        <color theme="1"/>
        <rFont val="Times New Roman"/>
        <family val="1"/>
      </rPr>
      <t xml:space="preserve">        </t>
    </r>
    <r>
      <rPr>
        <sz val="9"/>
        <color theme="1"/>
        <rFont val="Arial"/>
        <family val="2"/>
      </rPr>
      <t>Ayant des contrats ou des marchés avec des clients de bonne signature de la place.</t>
    </r>
  </si>
  <si>
    <r>
      <t>-</t>
    </r>
    <r>
      <rPr>
        <sz val="7"/>
        <color theme="1"/>
        <rFont val="Times New Roman"/>
        <family val="1"/>
      </rPr>
      <t xml:space="preserve">   </t>
    </r>
    <r>
      <rPr>
        <sz val="9"/>
        <color theme="1"/>
        <rFont val="Arial"/>
        <family val="2"/>
      </rPr>
      <t>Cotation en bourse ou reconnu comme étant une bonne signature dans la zone</t>
    </r>
  </si>
  <si>
    <t xml:space="preserve">Classification du client dans le secteur </t>
  </si>
  <si>
    <t>Minimum des Top 10</t>
  </si>
  <si>
    <t>Minimum des Top 20</t>
  </si>
  <si>
    <t>Minimum des Top 100</t>
  </si>
  <si>
    <t xml:space="preserve">Chiffre d’affaire annuel avec la Banque </t>
  </si>
  <si>
    <t>Minimum domiciliation proportionnelle aux engagements</t>
  </si>
  <si>
    <t>Minimum 50% du chiffre d’affaire domicilié</t>
  </si>
  <si>
    <t>Nombre d’années d’existence</t>
  </si>
  <si>
    <t>&gt;= 1ans</t>
  </si>
  <si>
    <t>&gt;=2ans</t>
  </si>
  <si>
    <t>&gt;3ans</t>
  </si>
  <si>
    <t>Notation Interne</t>
  </si>
  <si>
    <t>Maximum 6</t>
  </si>
  <si>
    <t>Maximum 8</t>
  </si>
  <si>
    <t>Maximum 13</t>
  </si>
  <si>
    <t>Réputation sur le marché</t>
  </si>
  <si>
    <t>Minimum des Top 15 ou Bonne Réputation</t>
  </si>
  <si>
    <t>Minimum Top 25 ou assez bonne réputation</t>
  </si>
  <si>
    <t>Minimum des Top 100 ou acceptable</t>
  </si>
  <si>
    <t xml:space="preserve">Nom de l'entreprise: </t>
  </si>
  <si>
    <t xml:space="preserve">Secteur d'activité: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</si>
</sst>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1" formatCode="_-* #,##0\ _F_ _C_F_A_-;\-* #,##0\ _F_ _C_F_A_-;_-* &quot;-&quot;\ _F_ _C_F_A_-;_-@_-"/>
    <numFmt numFmtId="43" formatCode="_-* #,##0.00\ _F_ _C_F_A_-;\-* #,##0.00\ _F_ _C_F_A_-;_-* &quot;-&quot;??\ _F_ _C_F_A_-;_-@_-"/>
    <numFmt numFmtId="164" formatCode="_-* #,##0\ _€_-;\-* #,##0\ _€_-;_-* &quot;-&quot;??\ _€_-;_-@_-"/>
  </numFmts>
  <fonts count="46" x14ac:knownFonts="1">
    <font>
      <sz val="11"/>
      <color theme="1"/>
      <name val="Calibri"/>
      <family val="2"/>
      <charset val="1"/>
    </font>
    <font>
      <sz val="10"/>
      <name val="Arial"/>
    </font>
    <font>
      <b/>
      <sz val="11"/>
      <color rgb="FF3F3F3F"/>
      <name val="Calibri"/>
      <family val="2"/>
      <scheme val="minor"/>
    </font>
    <font>
      <b/>
      <sz val="8"/>
      <color rgb="FF000000"/>
      <name val="Arial"/>
      <family val="2"/>
    </font>
    <font>
      <sz val="8"/>
      <color rgb="FF000000"/>
      <name val="Arial"/>
      <family val="2"/>
    </font>
    <font>
      <sz val="9"/>
      <color rgb="FF000000"/>
      <name val="Arial"/>
      <family val="2"/>
    </font>
    <font>
      <sz val="9"/>
      <color rgb="FF0D0D0D"/>
      <name val="Arial"/>
      <family val="2"/>
    </font>
    <font>
      <sz val="9"/>
      <color theme="1"/>
      <name val="Arial"/>
      <family val="2"/>
    </font>
    <font>
      <b/>
      <sz val="9"/>
      <color theme="1"/>
      <name val="Arial"/>
      <family val="2"/>
    </font>
    <font>
      <b/>
      <sz val="9"/>
      <color rgb="FF0D0D0D"/>
      <name val="Arial"/>
      <family val="2"/>
    </font>
    <font>
      <b/>
      <sz val="10"/>
      <color theme="1"/>
      <name val="Arial"/>
      <family val="2"/>
    </font>
    <font>
      <b/>
      <sz val="12"/>
      <color theme="1"/>
      <name val="Arial"/>
      <family val="2"/>
    </font>
    <font>
      <sz val="12"/>
      <color theme="1"/>
      <name val="Arial"/>
      <family val="2"/>
    </font>
    <font>
      <b/>
      <sz val="11"/>
      <color theme="1"/>
      <name val="Arial"/>
      <family val="2"/>
    </font>
    <font>
      <b/>
      <sz val="11"/>
      <color rgb="FF006600"/>
      <name val="Arial"/>
      <family val="2"/>
    </font>
    <font>
      <b/>
      <sz val="11"/>
      <name val="Arial"/>
      <family val="2"/>
    </font>
    <font>
      <b/>
      <sz val="9"/>
      <name val="Arial"/>
      <family val="2"/>
    </font>
    <font>
      <sz val="10"/>
      <color theme="1"/>
      <name val="Arial"/>
      <family val="2"/>
    </font>
    <font>
      <sz val="9"/>
      <color rgb="FFFF0000"/>
      <name val="Arial"/>
      <family val="2"/>
    </font>
    <font>
      <i/>
      <sz val="10"/>
      <color theme="1"/>
      <name val="Arial"/>
      <family val="2"/>
    </font>
    <font>
      <sz val="9"/>
      <name val="Arial"/>
      <family val="2"/>
    </font>
    <font>
      <b/>
      <sz val="10"/>
      <name val="Arial"/>
      <family val="2"/>
    </font>
    <font>
      <sz val="8"/>
      <color theme="1"/>
      <name val="Arial"/>
      <family val="2"/>
    </font>
    <font>
      <b/>
      <sz val="10"/>
      <color rgb="FFFF0000"/>
      <name val="Arial"/>
      <family val="2"/>
    </font>
    <font>
      <b/>
      <sz val="8"/>
      <color theme="1"/>
      <name val="Arial"/>
      <family val="2"/>
    </font>
    <font>
      <b/>
      <sz val="12"/>
      <name val="Arial"/>
      <family val="2"/>
    </font>
    <font>
      <sz val="8"/>
      <color theme="4" tint="-0.499984740745262"/>
      <name val="Arial"/>
      <family val="2"/>
    </font>
    <font>
      <sz val="11"/>
      <color theme="4" tint="-0.499984740745262"/>
      <name val="Calibri"/>
      <family val="2"/>
      <scheme val="minor"/>
    </font>
    <font>
      <b/>
      <u/>
      <sz val="8"/>
      <color theme="1"/>
      <name val="Arial"/>
      <family val="2"/>
    </font>
    <font>
      <sz val="8"/>
      <color theme="1"/>
      <name val="Calibri"/>
      <family val="2"/>
      <scheme val="minor"/>
    </font>
    <font>
      <b/>
      <u/>
      <sz val="9"/>
      <color theme="1"/>
      <name val="Arial"/>
      <family val="2"/>
    </font>
    <font>
      <sz val="8"/>
      <name val="Arial"/>
      <family val="2"/>
    </font>
    <font>
      <i/>
      <sz val="8"/>
      <color indexed="8"/>
      <name val="Arial"/>
      <family val="2"/>
    </font>
    <font>
      <b/>
      <sz val="9"/>
      <color indexed="81"/>
      <name val="Tahoma"/>
      <family val="2"/>
    </font>
    <font>
      <sz val="9"/>
      <color indexed="81"/>
      <name val="Tahoma"/>
      <family val="2"/>
    </font>
    <font>
      <sz val="9"/>
      <color theme="0"/>
      <name val="Arial"/>
      <family val="2"/>
    </font>
    <font>
      <b/>
      <sz val="12"/>
      <color rgb="FF000000"/>
      <name val="Arial"/>
      <family val="2"/>
    </font>
    <font>
      <b/>
      <sz val="8"/>
      <color rgb="FFFF0000"/>
      <name val="Arial"/>
      <family val="2"/>
    </font>
    <font>
      <b/>
      <sz val="11"/>
      <color theme="5"/>
      <name val="Arial"/>
      <family val="2"/>
    </font>
    <font>
      <sz val="11"/>
      <color rgb="FF000000"/>
      <name val="Calibri"/>
      <family val="2"/>
    </font>
    <font>
      <sz val="11"/>
      <color theme="1"/>
      <name val="Calibri"/>
      <family val="2"/>
    </font>
    <font>
      <b/>
      <sz val="9"/>
      <color theme="5"/>
      <name val="Arial"/>
      <family val="2"/>
    </font>
    <font>
      <sz val="14"/>
      <color theme="1"/>
      <name val="Arial"/>
      <family val="2"/>
    </font>
    <font>
      <sz val="9"/>
      <color theme="1"/>
      <name val="Calibri"/>
      <family val="2"/>
    </font>
    <font>
      <sz val="7"/>
      <color theme="1"/>
      <name val="Times New Roman"/>
      <family val="1"/>
    </font>
    <font>
      <b/>
      <u/>
      <sz val="9"/>
      <color indexed="81"/>
      <name val="Tahoma"/>
      <family val="2"/>
    </font>
  </fonts>
  <fills count="14">
    <fill>
      <patternFill patternType="none"/>
    </fill>
    <fill>
      <patternFill patternType="gray125"/>
    </fill>
    <fill>
      <patternFill patternType="solid">
        <fgColor rgb="FFF2F2F2"/>
      </patternFill>
    </fill>
    <fill>
      <patternFill patternType="solid">
        <fgColor theme="0"/>
        <bgColor indexed="64"/>
      </patternFill>
    </fill>
    <fill>
      <patternFill patternType="solid">
        <fgColor theme="4" tint="0.79998168889431442"/>
        <bgColor indexed="64"/>
      </patternFill>
    </fill>
    <fill>
      <patternFill patternType="solid">
        <fgColor theme="2"/>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0" tint="-0.14993743705557422"/>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9" tint="0.79998168889431442"/>
        <bgColor indexed="64"/>
      </patternFill>
    </fill>
    <fill>
      <patternFill patternType="darkUp">
        <bgColor rgb="FFB4B4B4"/>
      </patternFill>
    </fill>
    <fill>
      <patternFill patternType="solid">
        <fgColor theme="1" tint="0.499984740745262"/>
        <bgColor indexed="64"/>
      </patternFill>
    </fill>
  </fills>
  <borders count="49">
    <border>
      <left/>
      <right/>
      <top/>
      <bottom/>
      <diagonal/>
    </border>
    <border>
      <left style="medium">
        <color auto="1"/>
      </left>
      <right/>
      <top style="medium">
        <color auto="1"/>
      </top>
      <bottom style="medium">
        <color auto="1"/>
      </bottom>
      <diagonal/>
    </border>
    <border>
      <left style="thin">
        <color rgb="FF3F3F3F"/>
      </left>
      <right style="thin">
        <color rgb="FF3F3F3F"/>
      </right>
      <top style="thin">
        <color rgb="FF3F3F3F"/>
      </top>
      <bottom style="thin">
        <color rgb="FF3F3F3F"/>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thin">
        <color theme="0" tint="-0.24994659260841701"/>
      </right>
      <top style="thin">
        <color theme="0" tint="-0.499984740745262"/>
      </top>
      <bottom style="thin">
        <color theme="0" tint="-0.499984740745262"/>
      </bottom>
      <diagonal/>
    </border>
    <border>
      <left style="thin">
        <color theme="0" tint="-0.24994659260841701"/>
      </left>
      <right style="thin">
        <color theme="0" tint="-0.24994659260841701"/>
      </right>
      <top style="thin">
        <color theme="0" tint="-0.499984740745262"/>
      </top>
      <bottom style="thin">
        <color theme="0" tint="-0.499984740745262"/>
      </bottom>
      <diagonal/>
    </border>
    <border>
      <left style="thin">
        <color theme="0" tint="-0.24994659260841701"/>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24994659260841701"/>
      </right>
      <top style="thin">
        <color theme="0" tint="-0.499984740745262"/>
      </top>
      <bottom style="thin">
        <color theme="0" tint="-0.499984740745262"/>
      </bottom>
      <diagonal/>
    </border>
    <border>
      <left style="thin">
        <color theme="0" tint="-0.24994659260841701"/>
      </left>
      <right style="thin">
        <color theme="0" tint="-0.499984740745262"/>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dashed">
        <color theme="0" tint="-0.499984740745262"/>
      </bottom>
      <diagonal/>
    </border>
    <border>
      <left style="thin">
        <color theme="0" tint="-0.499984740745262"/>
      </left>
      <right style="thin">
        <color theme="0" tint="-0.499984740745262"/>
      </right>
      <top/>
      <bottom style="dashed">
        <color theme="0" tint="-0.499984740745262"/>
      </bottom>
      <diagonal/>
    </border>
    <border>
      <left/>
      <right style="thin">
        <color theme="0" tint="-0.499984740745262"/>
      </right>
      <top style="thin">
        <color theme="0" tint="-0.499984740745262"/>
      </top>
      <bottom/>
      <diagonal/>
    </border>
    <border>
      <left/>
      <right/>
      <top style="thin">
        <color theme="0" tint="-0.499984740745262"/>
      </top>
      <bottom/>
      <diagonal/>
    </border>
    <border>
      <left/>
      <right/>
      <top/>
      <bottom style="dashed">
        <color theme="0" tint="-0.24994659260841701"/>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top style="dashed">
        <color theme="0" tint="-0.499984740745262"/>
      </top>
      <bottom/>
      <diagonal/>
    </border>
    <border>
      <left/>
      <right/>
      <top style="dashed">
        <color theme="0" tint="-0.499984740745262"/>
      </top>
      <bottom style="dashed">
        <color theme="0" tint="-0.499984740745262"/>
      </bottom>
      <diagonal/>
    </border>
    <border>
      <left style="thin">
        <color theme="0" tint="-0.499984740745262"/>
      </left>
      <right/>
      <top style="thin">
        <color theme="0" tint="-0.499984740745262"/>
      </top>
      <bottom/>
      <diagonal/>
    </border>
    <border>
      <left/>
      <right style="thin">
        <color theme="0" tint="-0.499984740745262"/>
      </right>
      <top/>
      <bottom style="thin">
        <color theme="0" tint="-0.499984740745262"/>
      </bottom>
      <diagonal/>
    </border>
    <border>
      <left/>
      <right style="thin">
        <color theme="0" tint="-0.499984740745262"/>
      </right>
      <top/>
      <bottom style="dashed">
        <color theme="0" tint="-0.499984740745262"/>
      </bottom>
      <diagonal/>
    </border>
    <border>
      <left style="thin">
        <color theme="0" tint="-0.499984740745262"/>
      </left>
      <right/>
      <top/>
      <bottom style="dashed">
        <color theme="0" tint="-0.499984740745262"/>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auto="1"/>
      </right>
      <top/>
      <bottom style="medium">
        <color auto="1"/>
      </bottom>
      <diagonal/>
    </border>
    <border>
      <left style="thin">
        <color rgb="FF3F3F3F"/>
      </left>
      <right style="thin">
        <color rgb="FF3F3F3F"/>
      </right>
      <top style="thin">
        <color rgb="FF3F3F3F"/>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s>
  <cellStyleXfs count="5">
    <xf numFmtId="0" fontId="0" fillId="0" borderId="0"/>
    <xf numFmtId="43" fontId="1" fillId="0" borderId="0" applyBorder="0" applyAlignment="0" applyProtection="0"/>
    <xf numFmtId="41" fontId="1" fillId="0" borderId="0" applyBorder="0" applyAlignment="0" applyProtection="0"/>
    <xf numFmtId="9" fontId="1" fillId="0" borderId="0" applyBorder="0" applyAlignment="0" applyProtection="0"/>
    <xf numFmtId="0" fontId="2" fillId="2" borderId="2" applyNumberFormat="0" applyAlignment="0" applyProtection="0"/>
  </cellStyleXfs>
  <cellXfs count="296">
    <xf numFmtId="0" fontId="0" fillId="0" borderId="0" xfId="0"/>
    <xf numFmtId="0" fontId="6" fillId="0" borderId="3" xfId="0" applyFont="1" applyBorder="1" applyAlignment="1" applyProtection="1">
      <alignment horizontal="center" vertical="center" wrapText="1"/>
      <protection locked="0"/>
    </xf>
    <xf numFmtId="0" fontId="7" fillId="0" borderId="3" xfId="0" applyFont="1" applyBorder="1" applyAlignment="1" applyProtection="1">
      <alignment horizontal="center" vertical="center" wrapText="1"/>
      <protection locked="0"/>
    </xf>
    <xf numFmtId="0" fontId="8" fillId="0" borderId="7" xfId="0" applyFont="1" applyBorder="1" applyAlignment="1">
      <alignment horizontal="center" vertical="center"/>
    </xf>
    <xf numFmtId="0" fontId="9" fillId="0" borderId="3" xfId="0" applyFont="1" applyBorder="1" applyAlignment="1">
      <alignment horizontal="center" vertical="center" wrapText="1"/>
    </xf>
    <xf numFmtId="0" fontId="7" fillId="0" borderId="8" xfId="0" applyFont="1" applyBorder="1" applyAlignment="1">
      <alignment horizontal="center"/>
    </xf>
    <xf numFmtId="0" fontId="8" fillId="0" borderId="8" xfId="0" applyFont="1" applyBorder="1" applyAlignment="1">
      <alignment horizontal="center" vertical="center"/>
    </xf>
    <xf numFmtId="0" fontId="8" fillId="0" borderId="3" xfId="0" quotePrefix="1" applyFont="1" applyBorder="1" applyAlignment="1">
      <alignment horizontal="center" vertical="center" wrapText="1"/>
    </xf>
    <xf numFmtId="0" fontId="7" fillId="3" borderId="3" xfId="0" applyFont="1" applyFill="1" applyBorder="1" applyAlignment="1">
      <alignment horizontal="center" vertical="center" wrapText="1"/>
    </xf>
    <xf numFmtId="0" fontId="6" fillId="0" borderId="7" xfId="0" applyFont="1" applyBorder="1" applyAlignment="1">
      <alignment horizontal="center" vertical="center" wrapText="1"/>
    </xf>
    <xf numFmtId="3" fontId="7" fillId="4" borderId="3" xfId="0" applyNumberFormat="1" applyFont="1" applyFill="1" applyBorder="1" applyAlignment="1" applyProtection="1">
      <alignment vertical="center" wrapText="1"/>
      <protection locked="0"/>
    </xf>
    <xf numFmtId="0" fontId="6" fillId="0" borderId="8" xfId="0" applyFont="1" applyBorder="1" applyAlignment="1">
      <alignment horizontal="center" vertical="center" wrapText="1"/>
    </xf>
    <xf numFmtId="0" fontId="12" fillId="0" borderId="0" xfId="0" applyFont="1"/>
    <xf numFmtId="0" fontId="7" fillId="0" borderId="0" xfId="0" applyFont="1"/>
    <xf numFmtId="0" fontId="16" fillId="3" borderId="3" xfId="0" applyFont="1" applyFill="1" applyBorder="1" applyAlignment="1">
      <alignment horizontal="center" vertical="center" wrapText="1"/>
    </xf>
    <xf numFmtId="0" fontId="8" fillId="0" borderId="3" xfId="0" applyFont="1" applyBorder="1" applyAlignment="1">
      <alignment horizontal="center" vertical="center" wrapText="1"/>
    </xf>
    <xf numFmtId="0" fontId="7" fillId="0" borderId="7" xfId="0" applyFont="1" applyBorder="1" applyAlignment="1">
      <alignment horizontal="center" vertical="center" wrapText="1"/>
    </xf>
    <xf numFmtId="0" fontId="17" fillId="0" borderId="7" xfId="0" applyFont="1" applyBorder="1" applyAlignment="1">
      <alignment horizontal="left" vertical="center" wrapText="1" indent="1"/>
    </xf>
    <xf numFmtId="0" fontId="7" fillId="0" borderId="11" xfId="0" applyFont="1" applyBorder="1" applyAlignment="1" applyProtection="1">
      <alignment horizontal="center" vertical="center" wrapText="1"/>
      <protection locked="0"/>
    </xf>
    <xf numFmtId="3" fontId="17" fillId="4" borderId="3" xfId="0" applyNumberFormat="1" applyFont="1" applyFill="1" applyBorder="1" applyAlignment="1" applyProtection="1">
      <alignment vertical="center" wrapText="1"/>
      <protection locked="0"/>
    </xf>
    <xf numFmtId="0" fontId="7" fillId="0" borderId="8" xfId="0" applyFont="1" applyBorder="1" applyAlignment="1">
      <alignment horizontal="center" vertical="center" wrapText="1"/>
    </xf>
    <xf numFmtId="49" fontId="7" fillId="0" borderId="11" xfId="0" applyNumberFormat="1" applyFont="1" applyBorder="1" applyAlignment="1" applyProtection="1">
      <alignment horizontal="center" vertical="center" wrapText="1"/>
      <protection locked="0"/>
    </xf>
    <xf numFmtId="3" fontId="7" fillId="0" borderId="3" xfId="0" applyNumberFormat="1" applyFont="1" applyBorder="1" applyAlignment="1" applyProtection="1">
      <alignment vertical="center" wrapText="1"/>
      <protection locked="0"/>
    </xf>
    <xf numFmtId="3" fontId="7" fillId="4" borderId="3" xfId="0" applyNumberFormat="1" applyFont="1" applyFill="1" applyBorder="1" applyAlignment="1">
      <alignment vertical="center" wrapText="1"/>
    </xf>
    <xf numFmtId="3" fontId="7" fillId="4" borderId="13" xfId="0" applyNumberFormat="1" applyFont="1" applyFill="1" applyBorder="1" applyAlignment="1" applyProtection="1">
      <alignment vertical="center" wrapText="1"/>
      <protection locked="0"/>
    </xf>
    <xf numFmtId="0" fontId="17" fillId="0" borderId="8" xfId="0" applyFont="1" applyBorder="1" applyAlignment="1">
      <alignment horizontal="left" vertical="center" wrapText="1" indent="1"/>
    </xf>
    <xf numFmtId="3" fontId="18" fillId="4" borderId="3" xfId="0" applyNumberFormat="1" applyFont="1" applyFill="1" applyBorder="1" applyAlignment="1">
      <alignment vertical="center" wrapText="1"/>
    </xf>
    <xf numFmtId="0" fontId="7" fillId="0" borderId="17" xfId="0" applyFont="1" applyBorder="1" applyAlignment="1">
      <alignment horizontal="center" vertical="center" wrapText="1"/>
    </xf>
    <xf numFmtId="0" fontId="19" fillId="0" borderId="18" xfId="0" applyFont="1" applyBorder="1" applyAlignment="1">
      <alignment horizontal="left" vertical="center" wrapText="1" indent="1"/>
    </xf>
    <xf numFmtId="3" fontId="17" fillId="0" borderId="19" xfId="0" applyNumberFormat="1" applyFont="1" applyBorder="1" applyAlignment="1" applyProtection="1">
      <alignment horizontal="right" wrapText="1"/>
      <protection locked="0"/>
    </xf>
    <xf numFmtId="3" fontId="17" fillId="0" borderId="20" xfId="0" applyNumberFormat="1" applyFont="1" applyBorder="1" applyAlignment="1" applyProtection="1">
      <alignment horizontal="right" wrapText="1"/>
      <protection locked="0"/>
    </xf>
    <xf numFmtId="3" fontId="7" fillId="0" borderId="3" xfId="0" applyNumberFormat="1" applyFont="1" applyBorder="1" applyAlignment="1" applyProtection="1">
      <alignment horizontal="right" vertical="center" wrapText="1"/>
      <protection locked="0"/>
    </xf>
    <xf numFmtId="3" fontId="7" fillId="4" borderId="3" xfId="0" applyNumberFormat="1" applyFont="1" applyFill="1" applyBorder="1" applyAlignment="1" applyProtection="1">
      <alignment horizontal="right" vertical="center" wrapText="1"/>
      <protection locked="0"/>
    </xf>
    <xf numFmtId="3" fontId="20" fillId="4" borderId="3" xfId="0" applyNumberFormat="1" applyFont="1" applyFill="1" applyBorder="1" applyAlignment="1">
      <alignment vertical="center" wrapText="1"/>
    </xf>
    <xf numFmtId="0" fontId="7" fillId="0" borderId="11" xfId="0" applyFont="1" applyBorder="1" applyAlignment="1" applyProtection="1">
      <alignment vertical="center" wrapText="1"/>
      <protection locked="0"/>
    </xf>
    <xf numFmtId="0" fontId="8" fillId="0" borderId="8" xfId="0" applyFont="1" applyBorder="1" applyAlignment="1">
      <alignment horizontal="center" vertical="center" wrapText="1"/>
    </xf>
    <xf numFmtId="3" fontId="8" fillId="0" borderId="3" xfId="0" applyNumberFormat="1" applyFont="1" applyBorder="1" applyAlignment="1" applyProtection="1">
      <alignment vertical="center" wrapText="1"/>
      <protection locked="0"/>
    </xf>
    <xf numFmtId="3" fontId="8" fillId="4" borderId="3" xfId="0" applyNumberFormat="1" applyFont="1" applyFill="1" applyBorder="1" applyAlignment="1">
      <alignment vertical="center" wrapText="1"/>
    </xf>
    <xf numFmtId="3" fontId="8" fillId="4" borderId="13" xfId="0" applyNumberFormat="1" applyFont="1" applyFill="1" applyBorder="1" applyAlignment="1" applyProtection="1">
      <alignment vertical="center" wrapText="1"/>
      <protection locked="0"/>
    </xf>
    <xf numFmtId="0" fontId="7" fillId="0" borderId="21" xfId="0" applyFont="1" applyBorder="1" applyAlignment="1">
      <alignment horizontal="center" vertical="center" wrapText="1"/>
    </xf>
    <xf numFmtId="3" fontId="7" fillId="4" borderId="7" xfId="0" applyNumberFormat="1" applyFont="1" applyFill="1" applyBorder="1" applyAlignment="1">
      <alignment vertical="center" wrapText="1"/>
    </xf>
    <xf numFmtId="0" fontId="7" fillId="0" borderId="17" xfId="0" applyFont="1" applyBorder="1" applyAlignment="1" applyProtection="1">
      <alignment horizontal="center" vertical="center" wrapText="1"/>
      <protection locked="0"/>
    </xf>
    <xf numFmtId="3" fontId="7" fillId="4" borderId="17" xfId="0" applyNumberFormat="1" applyFont="1" applyFill="1" applyBorder="1" applyAlignment="1" applyProtection="1">
      <alignment vertical="center" wrapText="1"/>
      <protection locked="0"/>
    </xf>
    <xf numFmtId="0" fontId="22" fillId="0" borderId="0" xfId="0" applyFont="1" applyAlignment="1">
      <alignment horizontal="center" vertical="center"/>
    </xf>
    <xf numFmtId="0" fontId="22" fillId="0" borderId="0" xfId="0" applyFont="1" applyAlignment="1">
      <alignment vertical="center"/>
    </xf>
    <xf numFmtId="0" fontId="7" fillId="0" borderId="0" xfId="0" applyFont="1" applyAlignment="1">
      <alignment vertical="center"/>
    </xf>
    <xf numFmtId="0" fontId="7" fillId="0" borderId="0" xfId="0" applyFont="1" applyAlignment="1">
      <alignment horizontal="center" vertical="center"/>
    </xf>
    <xf numFmtId="43" fontId="23" fillId="4" borderId="0" xfId="1" applyFont="1" applyFill="1" applyAlignment="1">
      <alignment vertical="center"/>
    </xf>
    <xf numFmtId="0" fontId="22" fillId="0" borderId="0" xfId="0" applyFont="1"/>
    <xf numFmtId="0" fontId="22" fillId="0" borderId="0" xfId="0" applyFont="1" applyAlignment="1">
      <alignment horizontal="left" vertical="center"/>
    </xf>
    <xf numFmtId="49" fontId="22" fillId="0" borderId="0" xfId="0" applyNumberFormat="1" applyFont="1" applyAlignment="1">
      <alignment vertical="center"/>
    </xf>
    <xf numFmtId="49" fontId="8" fillId="3" borderId="0" xfId="0" applyNumberFormat="1" applyFont="1" applyFill="1" applyAlignment="1">
      <alignment vertical="center"/>
    </xf>
    <xf numFmtId="49" fontId="10" fillId="3" borderId="0" xfId="0" applyNumberFormat="1" applyFont="1" applyFill="1" applyAlignment="1">
      <alignment vertical="center"/>
    </xf>
    <xf numFmtId="0" fontId="22" fillId="3" borderId="0" xfId="0" applyFont="1" applyFill="1" applyAlignment="1">
      <alignment horizontal="center" vertical="center"/>
    </xf>
    <xf numFmtId="14" fontId="24" fillId="3" borderId="23" xfId="0" applyNumberFormat="1" applyFont="1" applyFill="1" applyBorder="1" applyAlignment="1">
      <alignment horizontal="center" vertical="center"/>
    </xf>
    <xf numFmtId="0" fontId="24" fillId="3" borderId="23" xfId="0" applyFont="1" applyFill="1" applyBorder="1" applyAlignment="1">
      <alignment horizontal="center" vertical="center"/>
    </xf>
    <xf numFmtId="0" fontId="22" fillId="3" borderId="0" xfId="0" applyFont="1" applyFill="1" applyAlignment="1">
      <alignment horizontal="right" vertical="center"/>
    </xf>
    <xf numFmtId="3" fontId="0" fillId="0" borderId="0" xfId="0" applyNumberFormat="1"/>
    <xf numFmtId="0" fontId="26" fillId="0" borderId="0" xfId="0" quotePrefix="1" applyFont="1"/>
    <xf numFmtId="0" fontId="26" fillId="0" borderId="0" xfId="0" applyFont="1"/>
    <xf numFmtId="0" fontId="26" fillId="0" borderId="0" xfId="0" applyFont="1" applyAlignment="1">
      <alignment horizontal="center"/>
    </xf>
    <xf numFmtId="0" fontId="27" fillId="0" borderId="0" xfId="0" applyFont="1"/>
    <xf numFmtId="0" fontId="27" fillId="0" borderId="0" xfId="0" applyFont="1" applyAlignment="1">
      <alignment horizontal="center"/>
    </xf>
    <xf numFmtId="0" fontId="0" fillId="0" borderId="0" xfId="0" applyAlignment="1">
      <alignment horizontal="center"/>
    </xf>
    <xf numFmtId="49" fontId="17" fillId="0" borderId="0" xfId="0" applyNumberFormat="1" applyFont="1" applyAlignment="1">
      <alignment horizontal="center" vertical="center"/>
    </xf>
    <xf numFmtId="0" fontId="7" fillId="0" borderId="0" xfId="0" applyFont="1" applyAlignment="1">
      <alignment horizontal="left" vertical="center"/>
    </xf>
    <xf numFmtId="49" fontId="8" fillId="0" borderId="19" xfId="0" applyNumberFormat="1" applyFont="1" applyBorder="1" applyAlignment="1">
      <alignment vertical="center"/>
    </xf>
    <xf numFmtId="0" fontId="8" fillId="0" borderId="19" xfId="0" applyFont="1" applyBorder="1" applyAlignment="1">
      <alignment vertical="center"/>
    </xf>
    <xf numFmtId="0" fontId="7" fillId="0" borderId="0" xfId="0" applyFont="1" applyAlignment="1">
      <alignment horizontal="right" vertical="center"/>
    </xf>
    <xf numFmtId="0" fontId="7" fillId="0" borderId="27" xfId="0" applyFont="1" applyBorder="1" applyAlignment="1">
      <alignment horizontal="center" vertical="center"/>
    </xf>
    <xf numFmtId="0" fontId="8" fillId="0" borderId="19" xfId="0" applyFont="1" applyBorder="1" applyAlignment="1">
      <alignment horizontal="center" vertical="center"/>
    </xf>
    <xf numFmtId="0" fontId="22" fillId="0" borderId="0" xfId="0" applyFont="1" applyAlignment="1">
      <alignment horizontal="right" vertical="center"/>
    </xf>
    <xf numFmtId="0" fontId="20" fillId="7" borderId="7" xfId="0" applyFont="1" applyFill="1" applyBorder="1" applyAlignment="1">
      <alignment horizontal="center" vertical="center" wrapText="1"/>
    </xf>
    <xf numFmtId="0" fontId="20" fillId="7" borderId="7" xfId="0" applyFont="1" applyFill="1" applyBorder="1" applyAlignment="1">
      <alignment horizontal="center" vertical="center"/>
    </xf>
    <xf numFmtId="0" fontId="7" fillId="7" borderId="17" xfId="0" applyFont="1" applyFill="1" applyBorder="1" applyAlignment="1">
      <alignment horizontal="center" vertical="center" wrapText="1"/>
    </xf>
    <xf numFmtId="0" fontId="0" fillId="0" borderId="0" xfId="0" applyAlignment="1">
      <alignment vertical="center"/>
    </xf>
    <xf numFmtId="0" fontId="8" fillId="8" borderId="3" xfId="0" applyFont="1" applyFill="1" applyBorder="1" applyAlignment="1">
      <alignment horizontal="center" vertical="center" wrapText="1"/>
    </xf>
    <xf numFmtId="3" fontId="7" fillId="8" borderId="3" xfId="0" applyNumberFormat="1" applyFont="1" applyFill="1" applyBorder="1" applyAlignment="1" applyProtection="1">
      <alignment horizontal="center" vertical="center" wrapText="1"/>
      <protection locked="0"/>
    </xf>
    <xf numFmtId="3" fontId="8" fillId="8" borderId="3" xfId="0" applyNumberFormat="1" applyFont="1" applyFill="1" applyBorder="1" applyAlignment="1" applyProtection="1">
      <alignment horizontal="right" vertical="center" wrapText="1"/>
      <protection locked="0"/>
    </xf>
    <xf numFmtId="0" fontId="7" fillId="9" borderId="3" xfId="0" applyFont="1" applyFill="1" applyBorder="1" applyAlignment="1">
      <alignment horizontal="center" vertical="center" wrapText="1"/>
    </xf>
    <xf numFmtId="3" fontId="7" fillId="9" borderId="3" xfId="0" applyNumberFormat="1" applyFont="1" applyFill="1" applyBorder="1" applyAlignment="1">
      <alignment horizontal="center" vertical="center" wrapText="1"/>
    </xf>
    <xf numFmtId="3" fontId="7" fillId="9" borderId="3" xfId="0" applyNumberFormat="1" applyFont="1" applyFill="1" applyBorder="1" applyAlignment="1">
      <alignment horizontal="right" vertical="center" wrapText="1"/>
    </xf>
    <xf numFmtId="0" fontId="7" fillId="0" borderId="3" xfId="0" applyFont="1" applyBorder="1" applyAlignment="1">
      <alignment horizontal="center" vertical="center" wrapText="1"/>
    </xf>
    <xf numFmtId="3" fontId="7" fillId="0" borderId="3" xfId="0" applyNumberFormat="1" applyFont="1" applyBorder="1" applyAlignment="1" applyProtection="1">
      <alignment horizontal="center" vertical="center" wrapText="1"/>
      <protection locked="0"/>
    </xf>
    <xf numFmtId="3" fontId="7" fillId="0" borderId="7" xfId="0" applyNumberFormat="1" applyFont="1" applyBorder="1" applyAlignment="1" applyProtection="1">
      <alignment horizontal="center" vertical="center" wrapText="1"/>
      <protection locked="0"/>
    </xf>
    <xf numFmtId="3" fontId="7" fillId="0" borderId="7" xfId="0" applyNumberFormat="1" applyFont="1" applyBorder="1" applyAlignment="1" applyProtection="1">
      <alignment horizontal="right" vertical="center" wrapText="1"/>
      <protection locked="0"/>
    </xf>
    <xf numFmtId="3" fontId="7" fillId="0" borderId="7" xfId="0" applyNumberFormat="1" applyFont="1" applyBorder="1" applyAlignment="1">
      <alignment horizontal="center" vertical="center" wrapText="1"/>
    </xf>
    <xf numFmtId="3" fontId="7" fillId="0" borderId="7" xfId="0" applyNumberFormat="1" applyFont="1" applyBorder="1" applyAlignment="1">
      <alignment horizontal="right" vertical="center" wrapText="1"/>
    </xf>
    <xf numFmtId="0" fontId="8" fillId="0" borderId="0" xfId="0" applyFont="1" applyAlignment="1">
      <alignment horizontal="left" vertical="center" wrapText="1" indent="1"/>
    </xf>
    <xf numFmtId="3" fontId="8" fillId="10" borderId="32" xfId="0" applyNumberFormat="1" applyFont="1" applyFill="1" applyBorder="1" applyAlignment="1">
      <alignment horizontal="right" vertical="center" wrapText="1" indent="1"/>
    </xf>
    <xf numFmtId="3" fontId="7" fillId="0" borderId="17" xfId="0" applyNumberFormat="1" applyFont="1" applyBorder="1" applyAlignment="1">
      <alignment horizontal="center" vertical="center" wrapText="1"/>
    </xf>
    <xf numFmtId="3" fontId="7" fillId="0" borderId="17" xfId="0" applyNumberFormat="1" applyFont="1" applyBorder="1" applyAlignment="1">
      <alignment horizontal="right" vertical="center" wrapText="1"/>
    </xf>
    <xf numFmtId="0" fontId="22" fillId="0" borderId="0" xfId="0" quotePrefix="1" applyFont="1" applyAlignment="1">
      <alignment horizontal="center" vertical="center" wrapText="1"/>
    </xf>
    <xf numFmtId="0" fontId="22" fillId="0" borderId="0" xfId="0" applyFont="1" applyAlignment="1">
      <alignment horizontal="left" vertical="center" wrapText="1"/>
    </xf>
    <xf numFmtId="0" fontId="22" fillId="0" borderId="0" xfId="0" applyFont="1" applyAlignment="1">
      <alignment horizontal="center" vertical="center" wrapText="1"/>
    </xf>
    <xf numFmtId="49" fontId="0" fillId="0" borderId="0" xfId="0" applyNumberFormat="1"/>
    <xf numFmtId="0" fontId="3" fillId="3" borderId="33" xfId="0" applyFont="1" applyFill="1" applyBorder="1" applyAlignment="1">
      <alignment horizontal="center" vertical="center" wrapText="1"/>
    </xf>
    <xf numFmtId="0" fontId="3" fillId="3" borderId="34" xfId="0" applyFont="1" applyFill="1" applyBorder="1" applyAlignment="1">
      <alignment horizontal="center" vertical="center" wrapText="1"/>
    </xf>
    <xf numFmtId="14" fontId="3" fillId="3" borderId="34" xfId="0" applyNumberFormat="1" applyFont="1" applyFill="1" applyBorder="1" applyAlignment="1">
      <alignment horizontal="center" vertical="center" wrapText="1"/>
    </xf>
    <xf numFmtId="0" fontId="29" fillId="0" borderId="0" xfId="0" applyFont="1"/>
    <xf numFmtId="0" fontId="4" fillId="0" borderId="35" xfId="0" applyFont="1" applyBorder="1" applyAlignment="1">
      <alignment horizontal="left" vertical="center" wrapText="1" indent="1"/>
    </xf>
    <xf numFmtId="0" fontId="4" fillId="0" borderId="36" xfId="0" applyFont="1" applyBorder="1" applyAlignment="1">
      <alignment horizontal="left" vertical="center" wrapText="1" indent="1"/>
    </xf>
    <xf numFmtId="10" fontId="5" fillId="0" borderId="36" xfId="3" applyNumberFormat="1" applyFont="1" applyBorder="1" applyAlignment="1">
      <alignment horizontal="center" vertical="center" wrapText="1"/>
    </xf>
    <xf numFmtId="0" fontId="3" fillId="0" borderId="36" xfId="0" applyFont="1" applyBorder="1" applyAlignment="1">
      <alignment vertical="center" wrapText="1"/>
    </xf>
    <xf numFmtId="0" fontId="4" fillId="4" borderId="36" xfId="0" applyFont="1" applyFill="1" applyBorder="1" applyAlignment="1">
      <alignment vertical="center" wrapText="1"/>
    </xf>
    <xf numFmtId="2" fontId="5" fillId="0" borderId="36" xfId="1" applyNumberFormat="1" applyFont="1" applyBorder="1" applyAlignment="1">
      <alignment horizontal="center" vertical="center" wrapText="1"/>
    </xf>
    <xf numFmtId="0" fontId="20" fillId="0" borderId="0" xfId="0" applyFont="1"/>
    <xf numFmtId="0" fontId="8" fillId="0" borderId="0" xfId="0" applyFont="1" applyAlignment="1">
      <alignment vertical="center"/>
    </xf>
    <xf numFmtId="0" fontId="31" fillId="0" borderId="0" xfId="0" applyFont="1" applyAlignment="1">
      <alignment horizontal="center" vertical="center"/>
    </xf>
    <xf numFmtId="3" fontId="4" fillId="0" borderId="36" xfId="1" applyNumberFormat="1" applyFont="1" applyBorder="1" applyAlignment="1">
      <alignment horizontal="left" vertical="center" wrapText="1" indent="1"/>
    </xf>
    <xf numFmtId="3" fontId="4" fillId="0" borderId="36" xfId="1" applyNumberFormat="1" applyFont="1" applyBorder="1" applyAlignment="1">
      <alignment horizontal="center" vertical="center" wrapText="1"/>
    </xf>
    <xf numFmtId="3" fontId="4" fillId="4" borderId="36" xfId="1" applyNumberFormat="1" applyFont="1" applyFill="1" applyBorder="1" applyAlignment="1">
      <alignment horizontal="left" vertical="center" wrapText="1" indent="1"/>
    </xf>
    <xf numFmtId="2" fontId="31" fillId="0" borderId="36" xfId="3" applyNumberFormat="1" applyFont="1" applyBorder="1" applyAlignment="1">
      <alignment horizontal="center" vertical="center" wrapText="1"/>
    </xf>
    <xf numFmtId="0" fontId="20" fillId="3" borderId="0" xfId="0" applyFont="1" applyFill="1"/>
    <xf numFmtId="0" fontId="21" fillId="7" borderId="2" xfId="4" applyFont="1" applyFill="1" applyAlignment="1">
      <alignment horizontal="center" vertical="center" wrapText="1"/>
    </xf>
    <xf numFmtId="14" fontId="16" fillId="7" borderId="2" xfId="4" applyNumberFormat="1" applyFont="1" applyFill="1" applyAlignment="1">
      <alignment horizontal="center" vertical="center" wrapText="1"/>
    </xf>
    <xf numFmtId="0" fontId="16" fillId="7" borderId="37" xfId="4" applyFont="1" applyFill="1" applyBorder="1" applyAlignment="1">
      <alignment horizontal="center" vertical="center" wrapText="1"/>
    </xf>
    <xf numFmtId="0" fontId="20" fillId="0" borderId="38" xfId="0" applyFont="1" applyBorder="1" applyAlignment="1">
      <alignment horizontal="left" vertical="center" wrapText="1" indent="1"/>
    </xf>
    <xf numFmtId="3" fontId="20" fillId="0" borderId="38" xfId="1" applyNumberFormat="1" applyFont="1" applyBorder="1" applyAlignment="1">
      <alignment vertical="center" wrapText="1"/>
    </xf>
    <xf numFmtId="9" fontId="7" fillId="0" borderId="38" xfId="3" applyFont="1" applyBorder="1" applyAlignment="1">
      <alignment horizontal="center" vertical="center"/>
    </xf>
    <xf numFmtId="0" fontId="20" fillId="0" borderId="0" xfId="0" applyFont="1" applyAlignment="1">
      <alignment vertical="center"/>
    </xf>
    <xf numFmtId="4" fontId="20" fillId="0" borderId="0" xfId="0" applyNumberFormat="1" applyFont="1" applyAlignment="1">
      <alignment vertical="center"/>
    </xf>
    <xf numFmtId="9" fontId="20" fillId="0" borderId="0" xfId="3" applyFont="1" applyAlignment="1">
      <alignment vertical="center"/>
    </xf>
    <xf numFmtId="9" fontId="20" fillId="0" borderId="0" xfId="0" applyNumberFormat="1" applyFont="1" applyAlignment="1">
      <alignment vertical="center"/>
    </xf>
    <xf numFmtId="3" fontId="20" fillId="0" borderId="38" xfId="3" applyNumberFormat="1" applyFont="1" applyBorder="1" applyAlignment="1">
      <alignment vertical="center" wrapText="1"/>
    </xf>
    <xf numFmtId="4" fontId="20" fillId="0" borderId="38" xfId="1" applyNumberFormat="1" applyFont="1" applyBorder="1" applyAlignment="1">
      <alignment vertical="center" wrapText="1"/>
    </xf>
    <xf numFmtId="0" fontId="35" fillId="3" borderId="0" xfId="0" applyFont="1" applyFill="1" applyAlignment="1">
      <alignment horizontal="left" indent="1"/>
    </xf>
    <xf numFmtId="9" fontId="7" fillId="0" borderId="0" xfId="3" applyFont="1"/>
    <xf numFmtId="0" fontId="7" fillId="0" borderId="38" xfId="0" applyFont="1" applyBorder="1" applyAlignment="1">
      <alignment horizontal="left" vertical="center" wrapText="1" indent="1"/>
    </xf>
    <xf numFmtId="3" fontId="7" fillId="0" borderId="38" xfId="1" applyNumberFormat="1" applyFont="1" applyFill="1" applyBorder="1" applyAlignment="1">
      <alignment vertical="center"/>
    </xf>
    <xf numFmtId="9" fontId="7" fillId="0" borderId="38" xfId="3" applyFont="1" applyFill="1" applyBorder="1" applyAlignment="1">
      <alignment horizontal="center" vertical="center"/>
    </xf>
    <xf numFmtId="9" fontId="20" fillId="0" borderId="0" xfId="3" applyFont="1" applyFill="1" applyAlignment="1">
      <alignment vertical="center"/>
    </xf>
    <xf numFmtId="3" fontId="20" fillId="0" borderId="38" xfId="1" applyNumberFormat="1" applyFont="1" applyFill="1" applyBorder="1" applyAlignment="1">
      <alignment vertical="center"/>
    </xf>
    <xf numFmtId="4" fontId="20" fillId="0" borderId="38" xfId="1" applyNumberFormat="1" applyFont="1" applyFill="1" applyBorder="1" applyAlignment="1">
      <alignment vertical="center"/>
    </xf>
    <xf numFmtId="164" fontId="7" fillId="0" borderId="38" xfId="1" applyNumberFormat="1" applyFont="1" applyFill="1" applyBorder="1" applyAlignment="1">
      <alignment horizontal="center" vertical="center"/>
    </xf>
    <xf numFmtId="3" fontId="20" fillId="3" borderId="38" xfId="1" applyNumberFormat="1" applyFont="1" applyFill="1" applyBorder="1" applyAlignment="1">
      <alignment vertical="center"/>
    </xf>
    <xf numFmtId="0" fontId="20" fillId="0" borderId="0" xfId="0" applyFont="1" applyAlignment="1">
      <alignment horizontal="left" indent="1"/>
    </xf>
    <xf numFmtId="0" fontId="3" fillId="11" borderId="33" xfId="0" applyFont="1" applyFill="1" applyBorder="1" applyAlignment="1">
      <alignment horizontal="center" vertical="center" wrapText="1"/>
    </xf>
    <xf numFmtId="0" fontId="3" fillId="11" borderId="34" xfId="0" applyFont="1" applyFill="1" applyBorder="1" applyAlignment="1">
      <alignment horizontal="center" vertical="center" wrapText="1"/>
    </xf>
    <xf numFmtId="0" fontId="3" fillId="11" borderId="36" xfId="0" applyFont="1" applyFill="1" applyBorder="1" applyAlignment="1">
      <alignment horizontal="center" vertical="center" wrapText="1"/>
    </xf>
    <xf numFmtId="0" fontId="3" fillId="11" borderId="34" xfId="0" applyFont="1" applyFill="1" applyBorder="1" applyAlignment="1">
      <alignment horizontal="center" vertical="center"/>
    </xf>
    <xf numFmtId="0" fontId="24" fillId="5" borderId="35" xfId="0" applyFont="1" applyFill="1" applyBorder="1" applyAlignment="1">
      <alignment vertical="center" wrapText="1"/>
    </xf>
    <xf numFmtId="9" fontId="38" fillId="5" borderId="47" xfId="3" applyFont="1" applyFill="1" applyBorder="1" applyAlignment="1">
      <alignment horizontal="center" vertical="center" wrapText="1"/>
    </xf>
    <xf numFmtId="9" fontId="38" fillId="5" borderId="47" xfId="3" applyFont="1" applyFill="1" applyBorder="1" applyAlignment="1">
      <alignment horizontal="center" vertical="center"/>
    </xf>
    <xf numFmtId="0" fontId="17" fillId="5" borderId="36" xfId="0" applyFont="1" applyFill="1" applyBorder="1" applyAlignment="1">
      <alignment horizontal="center" vertical="center" wrapText="1"/>
    </xf>
    <xf numFmtId="0" fontId="10" fillId="5" borderId="36" xfId="0" applyFont="1" applyFill="1" applyBorder="1" applyAlignment="1">
      <alignment horizontal="center" vertical="center" wrapText="1"/>
    </xf>
    <xf numFmtId="0" fontId="17" fillId="5" borderId="36" xfId="0" applyFont="1" applyFill="1" applyBorder="1" applyAlignment="1">
      <alignment horizontal="center" vertical="center"/>
    </xf>
    <xf numFmtId="9" fontId="38" fillId="5" borderId="38" xfId="3" applyFont="1" applyFill="1" applyBorder="1" applyAlignment="1">
      <alignment horizontal="center" vertical="center" wrapText="1"/>
    </xf>
    <xf numFmtId="0" fontId="8" fillId="5" borderId="35" xfId="0" applyFont="1" applyFill="1" applyBorder="1" applyAlignment="1">
      <alignment vertical="center" wrapText="1"/>
    </xf>
    <xf numFmtId="0" fontId="38" fillId="5" borderId="38" xfId="0" applyFont="1" applyFill="1" applyBorder="1" applyAlignment="1">
      <alignment horizontal="center" vertical="center"/>
    </xf>
    <xf numFmtId="2" fontId="38" fillId="5" borderId="48" xfId="0" applyNumberFormat="1" applyFont="1" applyFill="1" applyBorder="1" applyAlignment="1">
      <alignment horizontal="center" vertical="center"/>
    </xf>
    <xf numFmtId="3" fontId="39" fillId="0" borderId="0" xfId="0" applyNumberFormat="1" applyFont="1" applyAlignment="1">
      <alignment horizontal="right" vertical="center"/>
    </xf>
    <xf numFmtId="3" fontId="40" fillId="0" borderId="0" xfId="0" applyNumberFormat="1" applyFont="1" applyAlignment="1">
      <alignment horizontal="right" vertical="center"/>
    </xf>
    <xf numFmtId="0" fontId="8" fillId="0" borderId="46" xfId="0" applyFont="1" applyBorder="1" applyAlignment="1">
      <alignment vertical="center"/>
    </xf>
    <xf numFmtId="0" fontId="8" fillId="0" borderId="36" xfId="0" applyFont="1" applyBorder="1" applyAlignment="1">
      <alignment vertical="center" wrapText="1"/>
    </xf>
    <xf numFmtId="0" fontId="39" fillId="0" borderId="0" xfId="0" applyFont="1" applyAlignment="1">
      <alignment horizontal="right" vertical="center"/>
    </xf>
    <xf numFmtId="0" fontId="40" fillId="0" borderId="0" xfId="0" applyFont="1" applyAlignment="1">
      <alignment horizontal="right" vertical="center"/>
    </xf>
    <xf numFmtId="0" fontId="41" fillId="0" borderId="36" xfId="0" applyFont="1" applyBorder="1" applyAlignment="1">
      <alignment horizontal="center" vertical="center" wrapText="1"/>
    </xf>
    <xf numFmtId="0" fontId="43" fillId="0" borderId="44" xfId="0" applyFont="1" applyBorder="1" applyAlignment="1">
      <alignment horizontal="justify" vertical="center" wrapText="1"/>
    </xf>
    <xf numFmtId="0" fontId="7" fillId="0" borderId="44" xfId="0" applyFont="1" applyBorder="1" applyAlignment="1">
      <alignment horizontal="justify" vertical="center" wrapText="1"/>
    </xf>
    <xf numFmtId="0" fontId="0" fillId="0" borderId="44" xfId="0" applyBorder="1" applyAlignment="1">
      <alignment vertical="center" wrapText="1"/>
    </xf>
    <xf numFmtId="0" fontId="7" fillId="0" borderId="44" xfId="0" applyFont="1" applyBorder="1" applyAlignment="1">
      <alignment vertical="center" wrapText="1"/>
    </xf>
    <xf numFmtId="0" fontId="43" fillId="0" borderId="36" xfId="0" applyFont="1" applyBorder="1" applyAlignment="1">
      <alignment horizontal="justify" vertical="center" wrapText="1"/>
    </xf>
    <xf numFmtId="0" fontId="0" fillId="0" borderId="36" xfId="0" applyBorder="1" applyAlignment="1">
      <alignment vertical="center" wrapText="1"/>
    </xf>
    <xf numFmtId="0" fontId="22" fillId="0" borderId="36" xfId="0" applyFont="1" applyBorder="1" applyAlignment="1">
      <alignment horizontal="justify" vertical="center" wrapText="1"/>
    </xf>
    <xf numFmtId="0" fontId="22" fillId="0" borderId="36" xfId="0" applyFont="1" applyBorder="1" applyAlignment="1">
      <alignment vertical="center" wrapText="1"/>
    </xf>
    <xf numFmtId="0" fontId="7" fillId="0" borderId="36" xfId="0" applyFont="1" applyBorder="1" applyAlignment="1">
      <alignment vertical="center" wrapText="1"/>
    </xf>
    <xf numFmtId="0" fontId="8" fillId="13" borderId="3" xfId="0" applyFont="1" applyFill="1" applyBorder="1" applyAlignment="1">
      <alignment horizontal="center" vertical="center" wrapText="1"/>
    </xf>
    <xf numFmtId="49" fontId="7" fillId="13" borderId="11" xfId="0" applyNumberFormat="1" applyFont="1" applyFill="1" applyBorder="1" applyAlignment="1" applyProtection="1">
      <alignment horizontal="center" vertical="center" wrapText="1"/>
      <protection locked="0"/>
    </xf>
    <xf numFmtId="3" fontId="10" fillId="13" borderId="3" xfId="0" applyNumberFormat="1" applyFont="1" applyFill="1" applyBorder="1" applyAlignment="1">
      <alignment vertical="center" wrapText="1"/>
    </xf>
    <xf numFmtId="3" fontId="21" fillId="13" borderId="3" xfId="0" applyNumberFormat="1" applyFont="1" applyFill="1" applyBorder="1" applyAlignment="1">
      <alignment vertical="center" wrapText="1"/>
    </xf>
    <xf numFmtId="0" fontId="7" fillId="13" borderId="8" xfId="0" applyFont="1" applyFill="1" applyBorder="1" applyAlignment="1">
      <alignment horizontal="center" vertical="center" wrapText="1"/>
    </xf>
    <xf numFmtId="41" fontId="10" fillId="13" borderId="3" xfId="2" applyFont="1" applyFill="1" applyBorder="1" applyAlignment="1" applyProtection="1">
      <alignment vertical="center" wrapText="1"/>
    </xf>
    <xf numFmtId="3" fontId="7" fillId="0" borderId="3" xfId="0" applyNumberFormat="1" applyFont="1" applyFill="1" applyBorder="1" applyAlignment="1" applyProtection="1">
      <alignment vertical="center" wrapText="1"/>
      <protection locked="0"/>
    </xf>
    <xf numFmtId="0" fontId="8" fillId="13" borderId="3" xfId="0" applyFont="1" applyFill="1" applyBorder="1" applyAlignment="1">
      <alignment horizontal="left" vertical="center" wrapText="1" indent="1"/>
    </xf>
    <xf numFmtId="0" fontId="7" fillId="13" borderId="11" xfId="0" applyFont="1" applyFill="1" applyBorder="1" applyAlignment="1" applyProtection="1">
      <alignment horizontal="center" vertical="center" wrapText="1"/>
      <protection locked="0"/>
    </xf>
    <xf numFmtId="0" fontId="8" fillId="13" borderId="7" xfId="0" applyFont="1" applyFill="1" applyBorder="1" applyAlignment="1">
      <alignment horizontal="center" vertical="center" wrapText="1"/>
    </xf>
    <xf numFmtId="0" fontId="8" fillId="13" borderId="7" xfId="0" applyFont="1" applyFill="1" applyBorder="1" applyAlignment="1">
      <alignment horizontal="left" vertical="center" wrapText="1" indent="1"/>
    </xf>
    <xf numFmtId="0" fontId="8" fillId="13" borderId="17" xfId="0" applyFont="1" applyFill="1" applyBorder="1" applyAlignment="1">
      <alignment horizontal="center" vertical="center" wrapText="1"/>
    </xf>
    <xf numFmtId="0" fontId="9" fillId="13" borderId="3" xfId="0" applyFont="1" applyFill="1" applyBorder="1" applyAlignment="1">
      <alignment horizontal="center" vertical="center" wrapText="1"/>
    </xf>
    <xf numFmtId="0" fontId="7" fillId="13" borderId="3" xfId="0" applyFont="1" applyFill="1" applyBorder="1" applyAlignment="1">
      <alignment horizontal="center"/>
    </xf>
    <xf numFmtId="0" fontId="7" fillId="13" borderId="3" xfId="0" applyFont="1" applyFill="1" applyBorder="1" applyAlignment="1" applyProtection="1">
      <alignment horizontal="center" vertical="center" wrapText="1"/>
      <protection locked="0"/>
    </xf>
    <xf numFmtId="3" fontId="8" fillId="13" borderId="3" xfId="0" applyNumberFormat="1" applyFont="1" applyFill="1" applyBorder="1" applyAlignment="1">
      <alignment vertical="center" wrapText="1"/>
    </xf>
    <xf numFmtId="3" fontId="8" fillId="13" borderId="3" xfId="0" applyNumberFormat="1" applyFont="1" applyFill="1" applyBorder="1" applyAlignment="1">
      <alignment horizontal="right" vertical="center" wrapText="1"/>
    </xf>
    <xf numFmtId="0" fontId="7" fillId="13" borderId="3" xfId="0" applyFont="1" applyFill="1" applyBorder="1" applyAlignment="1">
      <alignment horizontal="center" vertical="center" wrapText="1"/>
    </xf>
    <xf numFmtId="3" fontId="7" fillId="13" borderId="17" xfId="0" applyNumberFormat="1" applyFont="1" applyFill="1" applyBorder="1" applyAlignment="1" applyProtection="1">
      <alignment horizontal="center" vertical="center" wrapText="1"/>
      <protection locked="0"/>
    </xf>
    <xf numFmtId="3" fontId="8" fillId="13" borderId="17" xfId="0" applyNumberFormat="1" applyFont="1" applyFill="1" applyBorder="1" applyAlignment="1">
      <alignment horizontal="right" vertical="center" wrapText="1"/>
    </xf>
    <xf numFmtId="3" fontId="7" fillId="13" borderId="3" xfId="0" applyNumberFormat="1" applyFont="1" applyFill="1" applyBorder="1" applyAlignment="1" applyProtection="1">
      <alignment horizontal="center" vertical="center" wrapText="1"/>
      <protection locked="0"/>
    </xf>
    <xf numFmtId="3" fontId="8" fillId="13" borderId="3" xfId="0" applyNumberFormat="1" applyFont="1" applyFill="1" applyBorder="1" applyAlignment="1" applyProtection="1">
      <alignment horizontal="right" vertical="center" wrapText="1"/>
      <protection locked="0"/>
    </xf>
    <xf numFmtId="3" fontId="22" fillId="13" borderId="21" xfId="0" applyNumberFormat="1" applyFont="1" applyFill="1" applyBorder="1" applyAlignment="1">
      <alignment vertical="center" wrapText="1"/>
    </xf>
    <xf numFmtId="3" fontId="7" fillId="13" borderId="7" xfId="0" applyNumberFormat="1" applyFont="1" applyFill="1" applyBorder="1" applyAlignment="1" applyProtection="1">
      <alignment horizontal="center" vertical="center" wrapText="1"/>
      <protection locked="0"/>
    </xf>
    <xf numFmtId="3" fontId="8" fillId="13" borderId="7" xfId="0" applyNumberFormat="1" applyFont="1" applyFill="1" applyBorder="1" applyAlignment="1">
      <alignment horizontal="right" vertical="center" wrapText="1"/>
    </xf>
    <xf numFmtId="3" fontId="7" fillId="13" borderId="17" xfId="0" applyNumberFormat="1" applyFont="1" applyFill="1" applyBorder="1" applyAlignment="1">
      <alignment horizontal="center" vertical="center" wrapText="1"/>
    </xf>
    <xf numFmtId="49" fontId="11" fillId="3" borderId="0" xfId="0" applyNumberFormat="1" applyFont="1" applyFill="1" applyAlignment="1">
      <alignment horizontal="center" vertical="center"/>
    </xf>
    <xf numFmtId="49" fontId="13" fillId="3" borderId="0" xfId="0" applyNumberFormat="1" applyFont="1" applyFill="1" applyAlignment="1">
      <alignment horizontal="center" vertical="center"/>
    </xf>
    <xf numFmtId="0" fontId="14" fillId="0" borderId="12" xfId="0" applyFont="1" applyBorder="1" applyAlignment="1">
      <alignment horizontal="center" vertical="center"/>
    </xf>
    <xf numFmtId="0" fontId="7" fillId="3" borderId="3" xfId="0" applyFont="1" applyFill="1" applyBorder="1" applyAlignment="1">
      <alignment horizontal="center" vertical="center" wrapText="1"/>
    </xf>
    <xf numFmtId="0" fontId="7" fillId="3" borderId="7" xfId="0" applyFont="1" applyFill="1" applyBorder="1" applyAlignment="1">
      <alignment horizontal="center" vertical="center" wrapText="1"/>
    </xf>
    <xf numFmtId="0" fontId="15" fillId="3" borderId="3" xfId="0" applyFont="1" applyFill="1" applyBorder="1" applyAlignment="1">
      <alignment horizontal="center" vertical="center" wrapText="1"/>
    </xf>
    <xf numFmtId="0" fontId="15" fillId="3" borderId="7" xfId="0" applyFont="1" applyFill="1" applyBorder="1" applyAlignment="1">
      <alignment horizontal="center" vertical="center" wrapText="1"/>
    </xf>
    <xf numFmtId="14" fontId="10" fillId="3" borderId="3" xfId="0" applyNumberFormat="1" applyFont="1" applyFill="1" applyBorder="1" applyAlignment="1">
      <alignment horizontal="center" vertical="center" wrapText="1"/>
    </xf>
    <xf numFmtId="0" fontId="10" fillId="3" borderId="3" xfId="0" applyFont="1" applyFill="1" applyBorder="1" applyAlignment="1">
      <alignment horizontal="center" vertical="center" wrapText="1"/>
    </xf>
    <xf numFmtId="0" fontId="8" fillId="13" borderId="13" xfId="0" applyFont="1" applyFill="1" applyBorder="1" applyAlignment="1">
      <alignment horizontal="left" vertical="center" wrapText="1" indent="1"/>
    </xf>
    <xf numFmtId="0" fontId="8" fillId="13" borderId="14" xfId="0" applyFont="1" applyFill="1" applyBorder="1" applyAlignment="1">
      <alignment horizontal="left" vertical="center" wrapText="1" indent="1"/>
    </xf>
    <xf numFmtId="0" fontId="8" fillId="13" borderId="11" xfId="0" applyFont="1" applyFill="1" applyBorder="1" applyAlignment="1">
      <alignment horizontal="left" vertical="center" wrapText="1" indent="1"/>
    </xf>
    <xf numFmtId="0" fontId="17" fillId="0" borderId="15" xfId="0" applyFont="1" applyBorder="1" applyAlignment="1">
      <alignment horizontal="left" vertical="center" wrapText="1" indent="1"/>
    </xf>
    <xf numFmtId="0" fontId="17" fillId="0" borderId="0" xfId="0" applyFont="1" applyAlignment="1">
      <alignment horizontal="left" vertical="center" wrapText="1" indent="1"/>
    </xf>
    <xf numFmtId="0" fontId="17" fillId="0" borderId="16" xfId="0" applyFont="1" applyBorder="1" applyAlignment="1">
      <alignment horizontal="left" vertical="center" wrapText="1" indent="1"/>
    </xf>
    <xf numFmtId="0" fontId="13" fillId="3" borderId="3" xfId="0" applyFont="1" applyFill="1" applyBorder="1" applyAlignment="1">
      <alignment horizontal="center" vertical="center" wrapText="1"/>
    </xf>
    <xf numFmtId="0" fontId="13" fillId="3" borderId="7" xfId="0" applyFont="1" applyFill="1" applyBorder="1" applyAlignment="1">
      <alignment horizontal="center" vertical="center" wrapText="1"/>
    </xf>
    <xf numFmtId="0" fontId="8" fillId="0" borderId="15" xfId="0" applyFont="1" applyBorder="1" applyAlignment="1">
      <alignment horizontal="left" vertical="center" wrapText="1" indent="1"/>
    </xf>
    <xf numFmtId="0" fontId="8" fillId="0" borderId="0" xfId="0" applyFont="1" applyAlignment="1">
      <alignment horizontal="left" vertical="center" wrapText="1" indent="1"/>
    </xf>
    <xf numFmtId="0" fontId="8" fillId="0" borderId="16" xfId="0" applyFont="1" applyBorder="1" applyAlignment="1">
      <alignment horizontal="left" vertical="center" wrapText="1" indent="1"/>
    </xf>
    <xf numFmtId="0" fontId="8" fillId="13" borderId="15" xfId="0" applyFont="1" applyFill="1" applyBorder="1" applyAlignment="1">
      <alignment horizontal="left" vertical="center" wrapText="1" indent="1"/>
    </xf>
    <xf numFmtId="0" fontId="8" fillId="13" borderId="0" xfId="0" applyFont="1" applyFill="1" applyAlignment="1">
      <alignment horizontal="left" vertical="center" wrapText="1" indent="1"/>
    </xf>
    <xf numFmtId="0" fontId="8" fillId="13" borderId="16" xfId="0" applyFont="1" applyFill="1" applyBorder="1" applyAlignment="1">
      <alignment horizontal="left" vertical="center" wrapText="1" indent="1"/>
    </xf>
    <xf numFmtId="0" fontId="23" fillId="4" borderId="22" xfId="0" applyFont="1" applyFill="1" applyBorder="1" applyAlignment="1">
      <alignment horizontal="center" vertical="center"/>
    </xf>
    <xf numFmtId="49" fontId="10" fillId="3" borderId="0" xfId="0" applyNumberFormat="1" applyFont="1" applyFill="1" applyAlignment="1">
      <alignment horizontal="left" vertical="center"/>
    </xf>
    <xf numFmtId="0" fontId="25" fillId="0" borderId="0" xfId="0" applyFont="1" applyAlignment="1">
      <alignment horizontal="center" vertical="center"/>
    </xf>
    <xf numFmtId="0" fontId="7" fillId="3" borderId="9"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7" fillId="3" borderId="10" xfId="0" applyFont="1" applyFill="1" applyBorder="1" applyAlignment="1">
      <alignment horizontal="center" vertical="center" wrapText="1"/>
    </xf>
    <xf numFmtId="0" fontId="7" fillId="3" borderId="11" xfId="0" quotePrefix="1" applyFont="1" applyFill="1" applyBorder="1" applyAlignment="1">
      <alignment horizontal="center" vertical="center" wrapText="1"/>
    </xf>
    <xf numFmtId="0" fontId="7" fillId="3" borderId="11" xfId="0" applyFont="1" applyFill="1" applyBorder="1" applyAlignment="1">
      <alignment horizontal="center" vertical="center" wrapText="1"/>
    </xf>
    <xf numFmtId="14" fontId="8" fillId="3" borderId="3" xfId="0" applyNumberFormat="1" applyFont="1" applyFill="1" applyBorder="1" applyAlignment="1">
      <alignment horizontal="center" vertical="center" wrapText="1"/>
    </xf>
    <xf numFmtId="0" fontId="6" fillId="0" borderId="0" xfId="0" applyFont="1" applyAlignment="1">
      <alignment horizontal="left" vertical="center" wrapText="1" indent="1"/>
    </xf>
    <xf numFmtId="0" fontId="8" fillId="13" borderId="4" xfId="0" applyFont="1" applyFill="1" applyBorder="1" applyAlignment="1">
      <alignment horizontal="left" vertical="center" wrapText="1" indent="1"/>
    </xf>
    <xf numFmtId="0" fontId="8" fillId="13" borderId="5" xfId="0" applyFont="1" applyFill="1" applyBorder="1" applyAlignment="1">
      <alignment horizontal="left" vertical="center" wrapText="1" indent="1"/>
    </xf>
    <xf numFmtId="0" fontId="8" fillId="13" borderId="6" xfId="0" applyFont="1" applyFill="1" applyBorder="1" applyAlignment="1">
      <alignment horizontal="left" vertical="center" wrapText="1" indent="1"/>
    </xf>
    <xf numFmtId="0" fontId="26" fillId="0" borderId="0" xfId="0" applyFont="1" applyAlignment="1">
      <alignment horizontal="left" vertical="center" wrapText="1"/>
    </xf>
    <xf numFmtId="0" fontId="7" fillId="7" borderId="7" xfId="0" applyFont="1" applyFill="1" applyBorder="1" applyAlignment="1">
      <alignment horizontal="center" vertical="center" wrapText="1"/>
    </xf>
    <xf numFmtId="0" fontId="7" fillId="7" borderId="17" xfId="0" applyFont="1" applyFill="1" applyBorder="1" applyAlignment="1">
      <alignment horizontal="center" vertical="center" wrapText="1"/>
    </xf>
    <xf numFmtId="0" fontId="7" fillId="7" borderId="29" xfId="0" applyFont="1" applyFill="1" applyBorder="1" applyAlignment="1">
      <alignment horizontal="center" vertical="center" wrapText="1"/>
    </xf>
    <xf numFmtId="0" fontId="7" fillId="7" borderId="22" xfId="0" applyFont="1" applyFill="1" applyBorder="1" applyAlignment="1">
      <alignment horizontal="center" vertical="center" wrapText="1"/>
    </xf>
    <xf numFmtId="0" fontId="7" fillId="7" borderId="21" xfId="0" applyFont="1" applyFill="1" applyBorder="1" applyAlignment="1">
      <alignment horizontal="center" vertical="center" wrapText="1"/>
    </xf>
    <xf numFmtId="0" fontId="7" fillId="7" borderId="18" xfId="0" applyFont="1" applyFill="1" applyBorder="1" applyAlignment="1">
      <alignment horizontal="center" vertical="center" wrapText="1"/>
    </xf>
    <xf numFmtId="0" fontId="7" fillId="7" borderId="12" xfId="0" applyFont="1" applyFill="1" applyBorder="1" applyAlignment="1">
      <alignment horizontal="center" vertical="center" wrapText="1"/>
    </xf>
    <xf numFmtId="0" fontId="7" fillId="7" borderId="30" xfId="0" applyFont="1" applyFill="1" applyBorder="1" applyAlignment="1">
      <alignment horizontal="center" vertical="center" wrapText="1"/>
    </xf>
    <xf numFmtId="49" fontId="17" fillId="0" borderId="0" xfId="0" applyNumberFormat="1" applyFont="1" applyAlignment="1">
      <alignment horizontal="center" vertical="center"/>
    </xf>
    <xf numFmtId="49" fontId="22" fillId="6" borderId="24" xfId="0" applyNumberFormat="1" applyFont="1" applyFill="1" applyBorder="1" applyAlignment="1">
      <alignment horizontal="center" vertical="center" wrapText="1"/>
    </xf>
    <xf numFmtId="49" fontId="22" fillId="6" borderId="25" xfId="0" applyNumberFormat="1" applyFont="1" applyFill="1" applyBorder="1" applyAlignment="1">
      <alignment horizontal="center" vertical="center" wrapText="1"/>
    </xf>
    <xf numFmtId="49" fontId="22" fillId="6" borderId="26" xfId="0" applyNumberFormat="1" applyFont="1" applyFill="1" applyBorder="1" applyAlignment="1">
      <alignment horizontal="center" vertical="center" wrapText="1"/>
    </xf>
    <xf numFmtId="49" fontId="8" fillId="0" borderId="19" xfId="0" applyNumberFormat="1" applyFont="1" applyBorder="1" applyAlignment="1">
      <alignment horizontal="left" vertical="center"/>
    </xf>
    <xf numFmtId="0" fontId="8" fillId="0" borderId="19" xfId="0" applyFont="1" applyBorder="1" applyAlignment="1">
      <alignment horizontal="left" vertical="center"/>
    </xf>
    <xf numFmtId="14" fontId="8" fillId="0" borderId="28" xfId="0" applyNumberFormat="1" applyFont="1" applyBorder="1" applyAlignment="1">
      <alignment horizontal="center" vertical="center"/>
    </xf>
    <xf numFmtId="0" fontId="8" fillId="0" borderId="28" xfId="0" applyFont="1" applyBorder="1" applyAlignment="1">
      <alignment horizontal="center" vertical="center"/>
    </xf>
    <xf numFmtId="0" fontId="7" fillId="0" borderId="0" xfId="0" applyFont="1" applyAlignment="1">
      <alignment horizontal="left" vertical="center" wrapText="1" indent="1"/>
    </xf>
    <xf numFmtId="0" fontId="8" fillId="8" borderId="13" xfId="0" applyFont="1" applyFill="1" applyBorder="1" applyAlignment="1">
      <alignment horizontal="left" vertical="center" wrapText="1" indent="1"/>
    </xf>
    <xf numFmtId="0" fontId="8" fillId="8" borderId="14" xfId="0" applyFont="1" applyFill="1" applyBorder="1" applyAlignment="1">
      <alignment horizontal="left" vertical="center" wrapText="1" indent="1"/>
    </xf>
    <xf numFmtId="0" fontId="8" fillId="8" borderId="11" xfId="0" applyFont="1" applyFill="1" applyBorder="1" applyAlignment="1">
      <alignment horizontal="left" vertical="center" wrapText="1" indent="1"/>
    </xf>
    <xf numFmtId="0" fontId="8" fillId="9" borderId="13" xfId="0" applyFont="1" applyFill="1" applyBorder="1" applyAlignment="1">
      <alignment horizontal="left" vertical="center" wrapText="1" indent="1"/>
    </xf>
    <xf numFmtId="0" fontId="8" fillId="9" borderId="14" xfId="0" applyFont="1" applyFill="1" applyBorder="1" applyAlignment="1">
      <alignment horizontal="left" vertical="center" wrapText="1" indent="1"/>
    </xf>
    <xf numFmtId="0" fontId="8" fillId="9" borderId="11" xfId="0" applyFont="1" applyFill="1" applyBorder="1" applyAlignment="1">
      <alignment horizontal="left" vertical="center" wrapText="1" indent="1"/>
    </xf>
    <xf numFmtId="0" fontId="7" fillId="0" borderId="0" xfId="0" quotePrefix="1" applyFont="1" applyAlignment="1">
      <alignment horizontal="left" vertical="center" wrapText="1" indent="1"/>
    </xf>
    <xf numFmtId="3" fontId="8" fillId="10" borderId="31" xfId="0" applyNumberFormat="1" applyFont="1" applyFill="1" applyBorder="1" applyAlignment="1">
      <alignment vertical="center" wrapText="1"/>
    </xf>
    <xf numFmtId="3" fontId="8" fillId="10" borderId="20" xfId="0" applyNumberFormat="1" applyFont="1" applyFill="1" applyBorder="1" applyAlignment="1">
      <alignment vertical="center" wrapText="1"/>
    </xf>
    <xf numFmtId="0" fontId="8" fillId="13" borderId="12" xfId="0" applyFont="1" applyFill="1" applyBorder="1" applyAlignment="1">
      <alignment horizontal="left" vertical="center" wrapText="1" indent="1"/>
    </xf>
    <xf numFmtId="0" fontId="8" fillId="13" borderId="29" xfId="0" applyFont="1" applyFill="1" applyBorder="1" applyAlignment="1">
      <alignment horizontal="left" vertical="center" wrapText="1" indent="1"/>
    </xf>
    <xf numFmtId="0" fontId="8" fillId="13" borderId="22" xfId="0" applyFont="1" applyFill="1" applyBorder="1" applyAlignment="1">
      <alignment horizontal="left" vertical="center" wrapText="1" indent="1"/>
    </xf>
    <xf numFmtId="0" fontId="18" fillId="13" borderId="18" xfId="0" applyFont="1" applyFill="1" applyBorder="1" applyAlignment="1">
      <alignment horizontal="left" vertical="top" wrapText="1" indent="1"/>
    </xf>
    <xf numFmtId="0" fontId="18" fillId="13" borderId="12" xfId="0" applyFont="1" applyFill="1" applyBorder="1" applyAlignment="1">
      <alignment horizontal="left" vertical="top" wrapText="1" indent="1"/>
    </xf>
    <xf numFmtId="3" fontId="7" fillId="13" borderId="12" xfId="0" applyNumberFormat="1" applyFont="1" applyFill="1" applyBorder="1" applyAlignment="1">
      <alignment horizontal="center" vertical="top" wrapText="1"/>
    </xf>
    <xf numFmtId="3" fontId="7" fillId="13" borderId="30" xfId="0" applyNumberFormat="1" applyFont="1" applyFill="1" applyBorder="1" applyAlignment="1">
      <alignment horizontal="center" vertical="top" wrapText="1"/>
    </xf>
    <xf numFmtId="0" fontId="22" fillId="0" borderId="22" xfId="0" applyFont="1" applyBorder="1" applyAlignment="1">
      <alignment horizontal="left" vertical="center" wrapText="1"/>
    </xf>
    <xf numFmtId="0" fontId="28" fillId="0" borderId="46" xfId="0" applyFont="1" applyBorder="1" applyAlignment="1">
      <alignment horizontal="center" vertical="center"/>
    </xf>
    <xf numFmtId="0" fontId="30" fillId="0" borderId="0" xfId="0" applyFont="1" applyAlignment="1">
      <alignment horizontal="center" vertical="center"/>
    </xf>
    <xf numFmtId="0" fontId="37" fillId="11" borderId="1" xfId="0" applyFont="1" applyFill="1" applyBorder="1" applyAlignment="1">
      <alignment horizontal="center" vertical="center" wrapText="1"/>
    </xf>
    <xf numFmtId="0" fontId="37" fillId="11" borderId="42" xfId="0" applyFont="1" applyFill="1" applyBorder="1" applyAlignment="1">
      <alignment horizontal="center" vertical="center" wrapText="1"/>
    </xf>
    <xf numFmtId="0" fontId="37" fillId="11" borderId="34"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3" fillId="11" borderId="42" xfId="0" applyFont="1" applyFill="1" applyBorder="1" applyAlignment="1">
      <alignment horizontal="center" vertical="center" wrapText="1"/>
    </xf>
    <xf numFmtId="0" fontId="3" fillId="11" borderId="34" xfId="0" applyFont="1" applyFill="1" applyBorder="1" applyAlignment="1">
      <alignment horizontal="center" vertical="center" wrapText="1"/>
    </xf>
    <xf numFmtId="0" fontId="8" fillId="0" borderId="1" xfId="0" applyFont="1" applyBorder="1" applyAlignment="1">
      <alignment horizontal="center" vertical="center" wrapText="1"/>
    </xf>
    <xf numFmtId="0" fontId="8" fillId="0" borderId="42" xfId="0" applyFont="1" applyBorder="1" applyAlignment="1">
      <alignment horizontal="center" vertical="center" wrapText="1"/>
    </xf>
    <xf numFmtId="0" fontId="8" fillId="0" borderId="34" xfId="0" applyFont="1" applyBorder="1" applyAlignment="1">
      <alignment horizontal="center" vertical="center" wrapText="1"/>
    </xf>
    <xf numFmtId="0" fontId="7" fillId="12" borderId="1" xfId="0" applyFont="1" applyFill="1" applyBorder="1" applyAlignment="1">
      <alignment vertical="center"/>
    </xf>
    <xf numFmtId="0" fontId="7" fillId="12" borderId="34" xfId="0" applyFont="1" applyFill="1" applyBorder="1" applyAlignment="1">
      <alignment vertical="center"/>
    </xf>
    <xf numFmtId="0" fontId="42" fillId="0" borderId="39" xfId="0" applyFont="1" applyBorder="1" applyAlignment="1">
      <alignment horizontal="center" vertical="center"/>
    </xf>
    <xf numFmtId="0" fontId="42" fillId="0" borderId="41" xfId="0" applyFont="1" applyBorder="1" applyAlignment="1">
      <alignment horizontal="center" vertical="center"/>
    </xf>
    <xf numFmtId="0" fontId="42" fillId="0" borderId="43" xfId="0" applyFont="1" applyBorder="1" applyAlignment="1">
      <alignment horizontal="center" vertical="center"/>
    </xf>
    <xf numFmtId="0" fontId="42" fillId="0" borderId="44" xfId="0" applyFont="1" applyBorder="1" applyAlignment="1">
      <alignment horizontal="center" vertical="center"/>
    </xf>
    <xf numFmtId="0" fontId="42" fillId="0" borderId="45" xfId="0" applyFont="1" applyBorder="1" applyAlignment="1">
      <alignment horizontal="center" vertical="center"/>
    </xf>
    <xf numFmtId="0" fontId="42" fillId="0" borderId="36" xfId="0" applyFont="1" applyBorder="1" applyAlignment="1">
      <alignment horizontal="center" vertical="center"/>
    </xf>
    <xf numFmtId="0" fontId="11" fillId="11" borderId="39" xfId="0" applyFont="1" applyFill="1" applyBorder="1" applyAlignment="1">
      <alignment horizontal="center" vertical="center"/>
    </xf>
    <xf numFmtId="0" fontId="11" fillId="11" borderId="40" xfId="0" applyFont="1" applyFill="1" applyBorder="1" applyAlignment="1">
      <alignment horizontal="center" vertical="center"/>
    </xf>
    <xf numFmtId="0" fontId="11" fillId="11" borderId="41" xfId="0" applyFont="1" applyFill="1" applyBorder="1" applyAlignment="1">
      <alignment horizontal="center" vertical="center"/>
    </xf>
    <xf numFmtId="0" fontId="11" fillId="11" borderId="43" xfId="0" applyFont="1" applyFill="1" applyBorder="1" applyAlignment="1">
      <alignment horizontal="center" vertical="center"/>
    </xf>
    <xf numFmtId="0" fontId="11" fillId="11" borderId="0" xfId="0" applyFont="1" applyFill="1" applyAlignment="1">
      <alignment horizontal="center" vertical="center"/>
    </xf>
    <xf numFmtId="0" fontId="11" fillId="11" borderId="44" xfId="0" applyFont="1" applyFill="1" applyBorder="1" applyAlignment="1">
      <alignment horizontal="center" vertical="center"/>
    </xf>
    <xf numFmtId="0" fontId="11" fillId="11" borderId="45" xfId="0" applyFont="1" applyFill="1" applyBorder="1" applyAlignment="1">
      <alignment horizontal="center" vertical="center"/>
    </xf>
    <xf numFmtId="0" fontId="11" fillId="11" borderId="46" xfId="0" applyFont="1" applyFill="1" applyBorder="1" applyAlignment="1">
      <alignment horizontal="center" vertical="center"/>
    </xf>
    <xf numFmtId="0" fontId="11" fillId="11" borderId="36" xfId="0" applyFont="1" applyFill="1" applyBorder="1" applyAlignment="1">
      <alignment horizontal="center" vertical="center"/>
    </xf>
    <xf numFmtId="0" fontId="7" fillId="0" borderId="1" xfId="0" applyFont="1" applyBorder="1" applyAlignment="1">
      <alignment horizontal="justify" vertical="center"/>
    </xf>
    <xf numFmtId="0" fontId="7" fillId="0" borderId="34" xfId="0" applyFont="1" applyBorder="1" applyAlignment="1">
      <alignment horizontal="justify" vertical="center"/>
    </xf>
    <xf numFmtId="0" fontId="7" fillId="0" borderId="1" xfId="0" applyFont="1" applyBorder="1" applyAlignment="1">
      <alignment vertical="center"/>
    </xf>
    <xf numFmtId="0" fontId="7" fillId="0" borderId="34" xfId="0" applyFont="1" applyBorder="1" applyAlignment="1">
      <alignment vertical="center"/>
    </xf>
  </cellXfs>
  <cellStyles count="5">
    <cellStyle name="Milliers" xfId="1" builtinId="3"/>
    <cellStyle name="Milliers [0]" xfId="2" builtinId="6"/>
    <cellStyle name="Normal" xfId="0" builtinId="0"/>
    <cellStyle name="Pourcentage" xfId="3" builtinId="5"/>
    <cellStyle name="Sortie" xfId="4" builtinId="21"/>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A5C0A"/>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D9D9D9"/>
      <rgbColor rgb="FF3366FF"/>
      <rgbColor rgb="FF33CCCC"/>
      <rgbColor rgb="FF99CC00"/>
      <rgbColor rgb="FFFFC000"/>
      <rgbColor rgb="FFFF9900"/>
      <rgbColor rgb="FFFF6600"/>
      <rgbColor rgb="FF595959"/>
      <rgbColor rgb="FF969696"/>
      <rgbColor rgb="FF002060"/>
      <rgbColor rgb="FF339966"/>
      <rgbColor rgb="FF003300"/>
      <rgbColor rgb="FF333300"/>
      <rgbColor rgb="FF993300"/>
      <rgbColor rgb="FF993366"/>
      <rgbColor rgb="FF333399"/>
      <rgbColor rgb="FF1F386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EPOUILLEMENT%20SOUM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LAN"/>
      <sheetName val="C.RESULTAT"/>
      <sheetName val="TFT"/>
      <sheetName val="Accords de déclassement"/>
      <sheetName val="Ratios complémentaires"/>
      <sheetName val="ACTIF"/>
      <sheetName val="PASSIF"/>
      <sheetName val="Carnevas"/>
      <sheetName val="Graphique des tendances"/>
      <sheetName val="Ecapro"/>
    </sheetNames>
    <sheetDataSet>
      <sheetData sheetId="0">
        <row r="4">
          <cell r="F4">
            <v>46022</v>
          </cell>
          <cell r="J4">
            <v>45291</v>
          </cell>
        </row>
        <row r="17">
          <cell r="P17">
            <v>2869202682</v>
          </cell>
        </row>
        <row r="21">
          <cell r="P21">
            <v>8607214874</v>
          </cell>
        </row>
        <row r="29">
          <cell r="J29">
            <v>15853459923</v>
          </cell>
          <cell r="P29">
            <v>9034515238</v>
          </cell>
        </row>
        <row r="33">
          <cell r="J33">
            <v>27479800</v>
          </cell>
          <cell r="P33">
            <v>3169204748</v>
          </cell>
        </row>
        <row r="35">
          <cell r="P35">
            <v>23722819165</v>
          </cell>
        </row>
      </sheetData>
      <sheetData sheetId="1">
        <row r="10">
          <cell r="I10">
            <v>23722803200</v>
          </cell>
        </row>
        <row r="16">
          <cell r="K16">
            <v>19420293986</v>
          </cell>
        </row>
        <row r="50">
          <cell r="K50">
            <v>381793403</v>
          </cell>
        </row>
      </sheetData>
      <sheetData sheetId="2"/>
      <sheetData sheetId="3">
        <row r="10">
          <cell r="C10">
            <v>1.5098821183427786</v>
          </cell>
        </row>
      </sheetData>
      <sheetData sheetId="4">
        <row r="7">
          <cell r="C7">
            <v>256.46433448204232</v>
          </cell>
        </row>
      </sheetData>
      <sheetData sheetId="5"/>
      <sheetData sheetId="6"/>
      <sheetData sheetId="7">
        <row r="10">
          <cell r="C10">
            <v>1868916659</v>
          </cell>
          <cell r="E10">
            <v>1898619919</v>
          </cell>
        </row>
      </sheetData>
      <sheetData sheetId="8"/>
      <sheetData sheetId="9"/>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6"/>
  <sheetViews>
    <sheetView showGridLines="0" tabSelected="1" zoomScaleNormal="100" workbookViewId="0">
      <selection activeCell="F35" sqref="F35"/>
    </sheetView>
  </sheetViews>
  <sheetFormatPr baseColWidth="10" defaultColWidth="11.42578125" defaultRowHeight="12" x14ac:dyDescent="0.2"/>
  <cols>
    <col min="1" max="1" width="4.42578125" style="48" customWidth="1"/>
    <col min="2" max="2" width="24.42578125" style="48" customWidth="1"/>
    <col min="3" max="3" width="14.42578125" style="48" customWidth="1"/>
    <col min="4" max="4" width="15.28515625" style="13" customWidth="1"/>
    <col min="5" max="5" width="4.42578125" style="13" customWidth="1"/>
    <col min="6" max="6" width="17.28515625" style="13" customWidth="1"/>
    <col min="7" max="7" width="14.85546875" style="13" customWidth="1"/>
    <col min="8" max="10" width="19.28515625" style="13" bestFit="1" customWidth="1"/>
    <col min="11" max="11" width="4.42578125" style="13" customWidth="1"/>
    <col min="12" max="12" width="43.7109375" style="13" customWidth="1"/>
    <col min="13" max="13" width="6.140625" style="13" customWidth="1"/>
    <col min="14" max="15" width="15.7109375" style="13" customWidth="1"/>
    <col min="16" max="16" width="16.5703125" style="13" customWidth="1"/>
    <col min="17" max="16384" width="11.42578125" style="13"/>
  </cols>
  <sheetData>
    <row r="1" spans="1:16" s="12" customFormat="1" ht="15.75" x14ac:dyDescent="0.2">
      <c r="A1" s="193" t="s">
        <v>414</v>
      </c>
      <c r="B1" s="193"/>
      <c r="C1" s="193"/>
      <c r="D1" s="193"/>
      <c r="E1" s="193"/>
      <c r="F1" s="193"/>
      <c r="G1" s="193"/>
      <c r="H1" s="193"/>
      <c r="I1" s="193"/>
      <c r="J1" s="193"/>
      <c r="K1" s="193"/>
      <c r="L1" s="193"/>
      <c r="M1" s="193"/>
      <c r="N1" s="193"/>
      <c r="O1" s="193"/>
    </row>
    <row r="2" spans="1:16" ht="15" customHeight="1" x14ac:dyDescent="0.2">
      <c r="A2" s="194" t="s">
        <v>415</v>
      </c>
      <c r="B2" s="194"/>
      <c r="C2" s="194"/>
      <c r="D2" s="194"/>
      <c r="E2" s="194"/>
      <c r="F2" s="194"/>
      <c r="G2" s="194"/>
      <c r="H2" s="194"/>
      <c r="I2" s="194"/>
      <c r="J2" s="194"/>
      <c r="K2" s="194"/>
      <c r="L2" s="194"/>
      <c r="M2" s="194"/>
      <c r="N2" s="194"/>
      <c r="O2" s="194"/>
    </row>
    <row r="3" spans="1:16" ht="19.5" customHeight="1" x14ac:dyDescent="0.2">
      <c r="A3" s="195" t="s">
        <v>210</v>
      </c>
      <c r="B3" s="195"/>
      <c r="C3" s="195"/>
      <c r="D3" s="195"/>
      <c r="E3" s="195"/>
      <c r="F3" s="195"/>
      <c r="G3" s="195"/>
      <c r="H3" s="195"/>
      <c r="I3" s="195"/>
      <c r="J3" s="195"/>
      <c r="K3" s="195"/>
      <c r="L3" s="195"/>
      <c r="M3" s="195"/>
      <c r="N3" s="195"/>
      <c r="O3" s="195"/>
    </row>
    <row r="4" spans="1:16" ht="15" customHeight="1" x14ac:dyDescent="0.2">
      <c r="A4" s="196" t="s">
        <v>4</v>
      </c>
      <c r="B4" s="198" t="s">
        <v>0</v>
      </c>
      <c r="C4" s="198"/>
      <c r="D4" s="198"/>
      <c r="E4" s="196" t="s">
        <v>5</v>
      </c>
      <c r="F4" s="200" t="s">
        <v>1</v>
      </c>
      <c r="G4" s="201"/>
      <c r="H4" s="201"/>
      <c r="I4" s="200" t="s">
        <v>2</v>
      </c>
      <c r="J4" s="200" t="s">
        <v>3</v>
      </c>
      <c r="K4" s="196" t="s">
        <v>4</v>
      </c>
      <c r="L4" s="208" t="s">
        <v>45</v>
      </c>
      <c r="M4" s="196" t="s">
        <v>5</v>
      </c>
      <c r="N4" s="200" t="str">
        <f>F4</f>
        <v>31/12/N</v>
      </c>
      <c r="O4" s="200" t="str">
        <f>I4</f>
        <v>31/12/N-1</v>
      </c>
      <c r="P4" s="200" t="str">
        <f>J4</f>
        <v>31/12/N-2</v>
      </c>
    </row>
    <row r="5" spans="1:16" ht="13.5" customHeight="1" x14ac:dyDescent="0.2">
      <c r="A5" s="196"/>
      <c r="B5" s="198"/>
      <c r="C5" s="198"/>
      <c r="D5" s="198"/>
      <c r="E5" s="196"/>
      <c r="F5" s="201"/>
      <c r="G5" s="201"/>
      <c r="H5" s="201"/>
      <c r="I5" s="201"/>
      <c r="J5" s="201"/>
      <c r="K5" s="196"/>
      <c r="L5" s="208"/>
      <c r="M5" s="196"/>
      <c r="N5" s="201"/>
      <c r="O5" s="201"/>
      <c r="P5" s="201"/>
    </row>
    <row r="6" spans="1:16" ht="26.25" customHeight="1" x14ac:dyDescent="0.2">
      <c r="A6" s="197"/>
      <c r="B6" s="199"/>
      <c r="C6" s="199"/>
      <c r="D6" s="199"/>
      <c r="E6" s="196"/>
      <c r="F6" s="14" t="s">
        <v>6</v>
      </c>
      <c r="G6" s="14" t="s">
        <v>211</v>
      </c>
      <c r="H6" s="14" t="s">
        <v>7</v>
      </c>
      <c r="I6" s="14" t="s">
        <v>7</v>
      </c>
      <c r="J6" s="14" t="s">
        <v>7</v>
      </c>
      <c r="K6" s="197"/>
      <c r="L6" s="209"/>
      <c r="M6" s="196"/>
      <c r="N6" s="14" t="s">
        <v>7</v>
      </c>
      <c r="O6" s="14" t="s">
        <v>7</v>
      </c>
      <c r="P6" s="14" t="s">
        <v>7</v>
      </c>
    </row>
    <row r="7" spans="1:16" ht="12.75" customHeight="1" x14ac:dyDescent="0.2">
      <c r="A7" s="167" t="s">
        <v>212</v>
      </c>
      <c r="B7" s="202" t="s">
        <v>213</v>
      </c>
      <c r="C7" s="203"/>
      <c r="D7" s="204"/>
      <c r="E7" s="168" t="s">
        <v>214</v>
      </c>
      <c r="F7" s="169">
        <f>SUM(F8:F11)</f>
        <v>0</v>
      </c>
      <c r="G7" s="169">
        <f>SUM(G8:G11)</f>
        <v>0</v>
      </c>
      <c r="H7" s="169">
        <f>SUM(H8:H11)</f>
        <v>0</v>
      </c>
      <c r="I7" s="169">
        <f>SUM(I8:I11)</f>
        <v>0</v>
      </c>
      <c r="J7" s="169">
        <f>SUM(J8:J11)</f>
        <v>0</v>
      </c>
      <c r="K7" s="16" t="s">
        <v>46</v>
      </c>
      <c r="L7" s="17" t="s">
        <v>47</v>
      </c>
      <c r="M7" s="18">
        <v>13</v>
      </c>
      <c r="N7" s="19"/>
      <c r="O7" s="19"/>
      <c r="P7" s="19"/>
    </row>
    <row r="8" spans="1:16" ht="18" customHeight="1" x14ac:dyDescent="0.2">
      <c r="A8" s="20" t="s">
        <v>215</v>
      </c>
      <c r="B8" s="205" t="s">
        <v>10</v>
      </c>
      <c r="C8" s="206"/>
      <c r="D8" s="207"/>
      <c r="E8" s="21"/>
      <c r="F8" s="22"/>
      <c r="G8" s="173"/>
      <c r="H8" s="23">
        <f>+F8-G8</f>
        <v>0</v>
      </c>
      <c r="I8" s="24"/>
      <c r="J8" s="23"/>
      <c r="K8" s="20" t="s">
        <v>48</v>
      </c>
      <c r="L8" s="25" t="s">
        <v>49</v>
      </c>
      <c r="M8" s="18">
        <v>13</v>
      </c>
      <c r="N8" s="10"/>
      <c r="O8" s="10"/>
      <c r="P8" s="10"/>
    </row>
    <row r="9" spans="1:16" ht="18" customHeight="1" x14ac:dyDescent="0.2">
      <c r="A9" s="20" t="s">
        <v>216</v>
      </c>
      <c r="B9" s="205" t="s">
        <v>12</v>
      </c>
      <c r="C9" s="206"/>
      <c r="D9" s="207"/>
      <c r="E9" s="21"/>
      <c r="F9" s="22"/>
      <c r="G9" s="173"/>
      <c r="H9" s="23">
        <f>F9-G9</f>
        <v>0</v>
      </c>
      <c r="I9" s="24"/>
      <c r="J9" s="23"/>
      <c r="K9" s="20" t="s">
        <v>51</v>
      </c>
      <c r="L9" s="25" t="s">
        <v>50</v>
      </c>
      <c r="M9" s="18">
        <v>14</v>
      </c>
      <c r="N9" s="10"/>
      <c r="O9" s="10"/>
      <c r="P9" s="10"/>
    </row>
    <row r="10" spans="1:16" ht="18" customHeight="1" x14ac:dyDescent="0.2">
      <c r="A10" s="20" t="s">
        <v>8</v>
      </c>
      <c r="B10" s="205" t="s">
        <v>14</v>
      </c>
      <c r="C10" s="206"/>
      <c r="D10" s="207"/>
      <c r="E10" s="21"/>
      <c r="F10" s="22"/>
      <c r="G10" s="173"/>
      <c r="H10" s="23">
        <f>F10-G10</f>
        <v>0</v>
      </c>
      <c r="I10" s="23"/>
      <c r="J10" s="23"/>
      <c r="K10" s="20" t="s">
        <v>52</v>
      </c>
      <c r="L10" s="25" t="s">
        <v>217</v>
      </c>
      <c r="M10" s="18" t="s">
        <v>218</v>
      </c>
      <c r="N10" s="10"/>
      <c r="O10" s="10"/>
      <c r="P10" s="10"/>
    </row>
    <row r="11" spans="1:16" ht="18" customHeight="1" x14ac:dyDescent="0.2">
      <c r="A11" s="20" t="s">
        <v>9</v>
      </c>
      <c r="B11" s="205" t="s">
        <v>219</v>
      </c>
      <c r="C11" s="206"/>
      <c r="D11" s="207"/>
      <c r="E11" s="21"/>
      <c r="F11" s="22"/>
      <c r="G11" s="173"/>
      <c r="H11" s="23">
        <f>F11-G11</f>
        <v>0</v>
      </c>
      <c r="I11" s="24"/>
      <c r="J11" s="26"/>
      <c r="K11" s="20" t="s">
        <v>54</v>
      </c>
      <c r="L11" s="25" t="s">
        <v>53</v>
      </c>
      <c r="M11" s="18">
        <v>14</v>
      </c>
      <c r="N11" s="10"/>
      <c r="O11" s="10"/>
      <c r="P11" s="10"/>
    </row>
    <row r="12" spans="1:16" ht="13.5" customHeight="1" x14ac:dyDescent="0.2">
      <c r="A12" s="167" t="s">
        <v>11</v>
      </c>
      <c r="B12" s="202" t="s">
        <v>220</v>
      </c>
      <c r="C12" s="203"/>
      <c r="D12" s="204"/>
      <c r="E12" s="168">
        <v>3</v>
      </c>
      <c r="F12" s="169">
        <f>SUM(F13:F18)</f>
        <v>0</v>
      </c>
      <c r="G12" s="169">
        <f>SUM(G13:G18)</f>
        <v>0</v>
      </c>
      <c r="H12" s="169">
        <f>SUM(H13:H18)</f>
        <v>0</v>
      </c>
      <c r="I12" s="169">
        <f>SUM(I13:I18)</f>
        <v>0</v>
      </c>
      <c r="J12" s="169">
        <f>SUM(J13:J18)</f>
        <v>0</v>
      </c>
      <c r="K12" s="20" t="s">
        <v>56</v>
      </c>
      <c r="L12" s="25" t="s">
        <v>55</v>
      </c>
      <c r="M12" s="18">
        <v>14</v>
      </c>
      <c r="N12" s="10"/>
      <c r="O12" s="10"/>
      <c r="P12" s="10"/>
    </row>
    <row r="13" spans="1:16" ht="25.5" customHeight="1" x14ac:dyDescent="0.2">
      <c r="A13" s="27" t="s">
        <v>13</v>
      </c>
      <c r="B13" s="28" t="s">
        <v>221</v>
      </c>
      <c r="C13" s="29"/>
      <c r="D13" s="30"/>
      <c r="E13" s="21"/>
      <c r="F13" s="31"/>
      <c r="G13" s="31"/>
      <c r="H13" s="23">
        <f t="shared" ref="H13:H18" si="0">F13-G13</f>
        <v>0</v>
      </c>
      <c r="I13" s="23"/>
      <c r="J13" s="23"/>
      <c r="K13" s="20" t="s">
        <v>58</v>
      </c>
      <c r="L13" s="25" t="s">
        <v>57</v>
      </c>
      <c r="M13" s="18">
        <v>14</v>
      </c>
      <c r="N13" s="32"/>
      <c r="O13" s="32"/>
      <c r="P13" s="32"/>
    </row>
    <row r="14" spans="1:16" ht="25.5" customHeight="1" x14ac:dyDescent="0.2">
      <c r="A14" s="27" t="s">
        <v>15</v>
      </c>
      <c r="B14" s="28" t="s">
        <v>222</v>
      </c>
      <c r="C14" s="29"/>
      <c r="D14" s="30"/>
      <c r="E14" s="21"/>
      <c r="F14" s="31"/>
      <c r="G14" s="31"/>
      <c r="H14" s="23">
        <f t="shared" si="0"/>
        <v>0</v>
      </c>
      <c r="I14" s="33"/>
      <c r="J14" s="23"/>
      <c r="K14" s="20" t="s">
        <v>60</v>
      </c>
      <c r="L14" s="25" t="s">
        <v>59</v>
      </c>
      <c r="M14" s="34"/>
      <c r="N14" s="32"/>
      <c r="O14" s="32"/>
      <c r="P14" s="32"/>
    </row>
    <row r="15" spans="1:16" ht="18" customHeight="1" x14ac:dyDescent="0.2">
      <c r="A15" s="20" t="s">
        <v>16</v>
      </c>
      <c r="B15" s="205" t="s">
        <v>223</v>
      </c>
      <c r="C15" s="206"/>
      <c r="D15" s="207"/>
      <c r="E15" s="21"/>
      <c r="F15" s="22"/>
      <c r="G15" s="22"/>
      <c r="H15" s="23">
        <f t="shared" si="0"/>
        <v>0</v>
      </c>
      <c r="I15" s="23"/>
      <c r="J15" s="23"/>
      <c r="K15" s="20" t="s">
        <v>224</v>
      </c>
      <c r="L15" s="25" t="s">
        <v>225</v>
      </c>
      <c r="M15" s="18">
        <v>15</v>
      </c>
      <c r="N15" s="10"/>
      <c r="O15" s="10"/>
      <c r="P15" s="10"/>
    </row>
    <row r="16" spans="1:16" ht="18" customHeight="1" x14ac:dyDescent="0.2">
      <c r="A16" s="20" t="s">
        <v>17</v>
      </c>
      <c r="B16" s="205" t="s">
        <v>20</v>
      </c>
      <c r="C16" s="206"/>
      <c r="D16" s="207"/>
      <c r="E16" s="21"/>
      <c r="F16" s="22"/>
      <c r="G16" s="22"/>
      <c r="H16" s="23">
        <f t="shared" si="0"/>
        <v>0</v>
      </c>
      <c r="I16" s="23"/>
      <c r="J16" s="23"/>
      <c r="K16" s="20" t="s">
        <v>226</v>
      </c>
      <c r="L16" s="25" t="s">
        <v>227</v>
      </c>
      <c r="M16" s="18">
        <v>15</v>
      </c>
      <c r="N16" s="10"/>
      <c r="O16" s="10"/>
      <c r="P16" s="10"/>
    </row>
    <row r="17" spans="1:16" ht="24" x14ac:dyDescent="0.2">
      <c r="A17" s="20" t="s">
        <v>18</v>
      </c>
      <c r="B17" s="205" t="s">
        <v>22</v>
      </c>
      <c r="C17" s="206"/>
      <c r="D17" s="207"/>
      <c r="E17" s="21"/>
      <c r="F17" s="22"/>
      <c r="G17" s="22"/>
      <c r="H17" s="23">
        <f t="shared" si="0"/>
        <v>0</v>
      </c>
      <c r="I17" s="23"/>
      <c r="J17" s="23"/>
      <c r="K17" s="15" t="s">
        <v>61</v>
      </c>
      <c r="L17" s="174" t="s">
        <v>228</v>
      </c>
      <c r="M17" s="175"/>
      <c r="N17" s="169">
        <f>SUM(N7:N16)</f>
        <v>0</v>
      </c>
      <c r="O17" s="169">
        <f>SUM(O7:O16)</f>
        <v>0</v>
      </c>
      <c r="P17" s="169">
        <f>SUM(P7:P16)</f>
        <v>0</v>
      </c>
    </row>
    <row r="18" spans="1:16" ht="18" customHeight="1" x14ac:dyDescent="0.2">
      <c r="A18" s="35" t="s">
        <v>19</v>
      </c>
      <c r="B18" s="210" t="s">
        <v>229</v>
      </c>
      <c r="C18" s="211"/>
      <c r="D18" s="212"/>
      <c r="E18" s="21">
        <v>3</v>
      </c>
      <c r="F18" s="36"/>
      <c r="G18" s="36"/>
      <c r="H18" s="23">
        <f t="shared" si="0"/>
        <v>0</v>
      </c>
      <c r="I18" s="23"/>
      <c r="J18" s="23"/>
      <c r="K18" s="20" t="s">
        <v>62</v>
      </c>
      <c r="L18" s="25" t="s">
        <v>63</v>
      </c>
      <c r="M18" s="18">
        <v>16</v>
      </c>
      <c r="N18" s="10"/>
      <c r="O18" s="10"/>
      <c r="P18" s="10"/>
    </row>
    <row r="19" spans="1:16" ht="13.5" customHeight="1" x14ac:dyDescent="0.2">
      <c r="A19" s="167" t="s">
        <v>21</v>
      </c>
      <c r="B19" s="202" t="s">
        <v>230</v>
      </c>
      <c r="C19" s="203"/>
      <c r="D19" s="204"/>
      <c r="E19" s="168">
        <v>4</v>
      </c>
      <c r="F19" s="169">
        <f>SUM(F20:F21)</f>
        <v>0</v>
      </c>
      <c r="G19" s="169">
        <f>SUM(G20:G21)</f>
        <v>0</v>
      </c>
      <c r="H19" s="169">
        <f>SUM(H20:H21)</f>
        <v>0</v>
      </c>
      <c r="I19" s="169">
        <f>SUM(I20:I21)</f>
        <v>0</v>
      </c>
      <c r="J19" s="169">
        <f>SUM(J20:J21)</f>
        <v>0</v>
      </c>
      <c r="K19" s="20" t="s">
        <v>64</v>
      </c>
      <c r="L19" s="25" t="s">
        <v>65</v>
      </c>
      <c r="M19" s="18">
        <v>16</v>
      </c>
      <c r="N19" s="10"/>
      <c r="O19" s="10"/>
      <c r="P19" s="10"/>
    </row>
    <row r="20" spans="1:16" ht="18" customHeight="1" x14ac:dyDescent="0.2">
      <c r="A20" s="20" t="s">
        <v>23</v>
      </c>
      <c r="B20" s="205" t="s">
        <v>25</v>
      </c>
      <c r="C20" s="206"/>
      <c r="D20" s="207"/>
      <c r="E20" s="21"/>
      <c r="F20" s="22"/>
      <c r="G20" s="22"/>
      <c r="H20" s="23">
        <f>F20-G20</f>
        <v>0</v>
      </c>
      <c r="I20" s="24"/>
      <c r="J20" s="26"/>
      <c r="K20" s="20" t="s">
        <v>66</v>
      </c>
      <c r="L20" s="25" t="s">
        <v>67</v>
      </c>
      <c r="M20" s="18">
        <v>16</v>
      </c>
      <c r="N20" s="10"/>
      <c r="O20" s="10"/>
      <c r="P20" s="10"/>
    </row>
    <row r="21" spans="1:16" ht="25.5" customHeight="1" x14ac:dyDescent="0.2">
      <c r="A21" s="20" t="s">
        <v>24</v>
      </c>
      <c r="B21" s="205" t="s">
        <v>231</v>
      </c>
      <c r="C21" s="206"/>
      <c r="D21" s="207"/>
      <c r="E21" s="21"/>
      <c r="F21" s="22"/>
      <c r="G21" s="22"/>
      <c r="H21" s="23">
        <f>F21-G21</f>
        <v>0</v>
      </c>
      <c r="I21" s="24"/>
      <c r="J21" s="33"/>
      <c r="K21" s="176" t="s">
        <v>232</v>
      </c>
      <c r="L21" s="177" t="s">
        <v>233</v>
      </c>
      <c r="M21" s="175"/>
      <c r="N21" s="169">
        <f>SUM(N18:N20)</f>
        <v>0</v>
      </c>
      <c r="O21" s="169">
        <f>SUM(O18:O20)</f>
        <v>0</v>
      </c>
      <c r="P21" s="169">
        <f>SUM(P18:P20)</f>
        <v>0</v>
      </c>
    </row>
    <row r="22" spans="1:16" ht="15.75" customHeight="1" x14ac:dyDescent="0.2">
      <c r="A22" s="167" t="s">
        <v>26</v>
      </c>
      <c r="B22" s="202" t="s">
        <v>234</v>
      </c>
      <c r="C22" s="203"/>
      <c r="D22" s="204"/>
      <c r="E22" s="168"/>
      <c r="F22" s="169">
        <f>F7+F12+F19</f>
        <v>0</v>
      </c>
      <c r="G22" s="169">
        <f>G7+G12+G19</f>
        <v>0</v>
      </c>
      <c r="H22" s="169">
        <f>H7+H12+H19</f>
        <v>0</v>
      </c>
      <c r="I22" s="170">
        <f>I7+I12+I19</f>
        <v>0</v>
      </c>
      <c r="J22" s="169">
        <f>J7+J12+J19</f>
        <v>0</v>
      </c>
      <c r="K22" s="178" t="s">
        <v>68</v>
      </c>
      <c r="L22" s="174" t="s">
        <v>235</v>
      </c>
      <c r="M22" s="175"/>
      <c r="N22" s="169">
        <f>N17+N21</f>
        <v>0</v>
      </c>
      <c r="O22" s="169">
        <f>O17+O21</f>
        <v>0</v>
      </c>
      <c r="P22" s="169">
        <f>P17+P21</f>
        <v>0</v>
      </c>
    </row>
    <row r="23" spans="1:16" ht="18" customHeight="1" x14ac:dyDescent="0.2">
      <c r="A23" s="20" t="s">
        <v>27</v>
      </c>
      <c r="B23" s="210" t="s">
        <v>236</v>
      </c>
      <c r="C23" s="211"/>
      <c r="D23" s="212"/>
      <c r="E23" s="21">
        <v>5</v>
      </c>
      <c r="F23" s="36"/>
      <c r="G23" s="36"/>
      <c r="H23" s="37">
        <f>F23-G23</f>
        <v>0</v>
      </c>
      <c r="I23" s="38"/>
      <c r="J23" s="38"/>
      <c r="K23" s="20" t="s">
        <v>69</v>
      </c>
      <c r="L23" s="25" t="s">
        <v>70</v>
      </c>
      <c r="M23" s="18">
        <v>5</v>
      </c>
      <c r="N23" s="10"/>
      <c r="O23" s="10"/>
      <c r="P23" s="10"/>
    </row>
    <row r="24" spans="1:16" ht="18" customHeight="1" x14ac:dyDescent="0.2">
      <c r="A24" s="20" t="s">
        <v>28</v>
      </c>
      <c r="B24" s="210" t="s">
        <v>29</v>
      </c>
      <c r="C24" s="211"/>
      <c r="D24" s="212"/>
      <c r="E24" s="21">
        <v>6</v>
      </c>
      <c r="F24" s="36"/>
      <c r="G24" s="36"/>
      <c r="H24" s="37">
        <f>F24-G24</f>
        <v>0</v>
      </c>
      <c r="I24" s="38"/>
      <c r="J24" s="38"/>
      <c r="K24" s="20" t="s">
        <v>71</v>
      </c>
      <c r="L24" s="25" t="s">
        <v>72</v>
      </c>
      <c r="M24" s="18">
        <v>7</v>
      </c>
      <c r="N24" s="10"/>
      <c r="O24" s="10"/>
      <c r="P24" s="10"/>
    </row>
    <row r="25" spans="1:16" ht="16.5" customHeight="1" x14ac:dyDescent="0.2">
      <c r="A25" s="171" t="s">
        <v>30</v>
      </c>
      <c r="B25" s="213" t="s">
        <v>237</v>
      </c>
      <c r="C25" s="214"/>
      <c r="D25" s="215"/>
      <c r="E25" s="168"/>
      <c r="F25" s="169">
        <f>F26+F27+F28</f>
        <v>0</v>
      </c>
      <c r="G25" s="169">
        <f>G26+G27+G28</f>
        <v>0</v>
      </c>
      <c r="H25" s="169">
        <f>H26+H27+H28</f>
        <v>0</v>
      </c>
      <c r="I25" s="169">
        <f>I26+I27+I28</f>
        <v>0</v>
      </c>
      <c r="J25" s="169">
        <f>J26+J27+J28</f>
        <v>0</v>
      </c>
      <c r="K25" s="20" t="s">
        <v>73</v>
      </c>
      <c r="L25" s="25" t="s">
        <v>74</v>
      </c>
      <c r="M25" s="18">
        <v>17</v>
      </c>
      <c r="N25" s="10"/>
      <c r="O25" s="10"/>
      <c r="P25" s="10"/>
    </row>
    <row r="26" spans="1:16" ht="18" customHeight="1" x14ac:dyDescent="0.2">
      <c r="A26" s="20" t="s">
        <v>31</v>
      </c>
      <c r="B26" s="205" t="s">
        <v>238</v>
      </c>
      <c r="C26" s="206"/>
      <c r="D26" s="207"/>
      <c r="E26" s="21">
        <v>17</v>
      </c>
      <c r="F26" s="22"/>
      <c r="G26" s="22"/>
      <c r="H26" s="37">
        <f>F26-G26</f>
        <v>0</v>
      </c>
      <c r="I26" s="24"/>
      <c r="J26" s="24"/>
      <c r="K26" s="20" t="s">
        <v>75</v>
      </c>
      <c r="L26" s="25" t="s">
        <v>76</v>
      </c>
      <c r="M26" s="18">
        <v>18</v>
      </c>
      <c r="N26" s="10"/>
      <c r="O26" s="10"/>
      <c r="P26" s="10"/>
    </row>
    <row r="27" spans="1:16" ht="18" customHeight="1" x14ac:dyDescent="0.2">
      <c r="A27" s="20" t="s">
        <v>32</v>
      </c>
      <c r="B27" s="205" t="s">
        <v>33</v>
      </c>
      <c r="C27" s="206"/>
      <c r="D27" s="207"/>
      <c r="E27" s="21">
        <v>7</v>
      </c>
      <c r="F27" s="22"/>
      <c r="G27" s="22"/>
      <c r="H27" s="37">
        <f t="shared" ref="H27:H28" si="1">F27-G27</f>
        <v>0</v>
      </c>
      <c r="I27" s="24"/>
      <c r="J27" s="24"/>
      <c r="K27" s="20" t="s">
        <v>78</v>
      </c>
      <c r="L27" s="25" t="s">
        <v>77</v>
      </c>
      <c r="M27" s="18">
        <v>19</v>
      </c>
      <c r="N27" s="10"/>
      <c r="O27" s="10"/>
      <c r="P27" s="10"/>
    </row>
    <row r="28" spans="1:16" ht="27" customHeight="1" x14ac:dyDescent="0.2">
      <c r="A28" s="20" t="s">
        <v>34</v>
      </c>
      <c r="B28" s="205" t="s">
        <v>239</v>
      </c>
      <c r="C28" s="206"/>
      <c r="D28" s="207"/>
      <c r="E28" s="21">
        <v>8</v>
      </c>
      <c r="F28" s="22"/>
      <c r="G28" s="22"/>
      <c r="H28" s="37">
        <f t="shared" si="1"/>
        <v>0</v>
      </c>
      <c r="I28" s="24"/>
      <c r="J28" s="24"/>
      <c r="K28" s="20" t="s">
        <v>240</v>
      </c>
      <c r="L28" s="25" t="s">
        <v>79</v>
      </c>
      <c r="M28" s="18">
        <v>19</v>
      </c>
      <c r="N28" s="10"/>
      <c r="O28" s="10"/>
      <c r="P28" s="10"/>
    </row>
    <row r="29" spans="1:16" ht="12" customHeight="1" x14ac:dyDescent="0.2">
      <c r="A29" s="167" t="s">
        <v>35</v>
      </c>
      <c r="B29" s="202" t="s">
        <v>241</v>
      </c>
      <c r="C29" s="203"/>
      <c r="D29" s="204"/>
      <c r="E29" s="168"/>
      <c r="F29" s="169">
        <f>F23+F24+F25</f>
        <v>0</v>
      </c>
      <c r="G29" s="169">
        <f>G23+G24+G25</f>
        <v>0</v>
      </c>
      <c r="H29" s="169">
        <f>H23+H24+H25</f>
        <v>0</v>
      </c>
      <c r="I29" s="169">
        <f>I23+I24+I25</f>
        <v>0</v>
      </c>
      <c r="J29" s="169">
        <f>J23+J24+J25</f>
        <v>0</v>
      </c>
      <c r="K29" s="167" t="s">
        <v>80</v>
      </c>
      <c r="L29" s="174" t="s">
        <v>242</v>
      </c>
      <c r="M29" s="175"/>
      <c r="N29" s="169">
        <f>SUM(N23:N28)</f>
        <v>0</v>
      </c>
      <c r="O29" s="169">
        <f>SUM(O23:O28)</f>
        <v>0</v>
      </c>
      <c r="P29" s="169">
        <f>SUM(P23:P28)</f>
        <v>0</v>
      </c>
    </row>
    <row r="30" spans="1:16" ht="15" customHeight="1" x14ac:dyDescent="0.2">
      <c r="A30" s="20" t="s">
        <v>36</v>
      </c>
      <c r="B30" s="205" t="s">
        <v>37</v>
      </c>
      <c r="C30" s="206"/>
      <c r="D30" s="207"/>
      <c r="E30" s="21">
        <v>9</v>
      </c>
      <c r="F30" s="22"/>
      <c r="G30" s="22"/>
      <c r="H30" s="23">
        <f t="shared" ref="H30:H31" si="2">F30-G30</f>
        <v>0</v>
      </c>
      <c r="I30" s="24"/>
      <c r="J30" s="26"/>
      <c r="K30" s="20"/>
      <c r="L30" s="25"/>
      <c r="M30" s="39"/>
      <c r="N30" s="40"/>
      <c r="O30" s="40"/>
      <c r="P30" s="40"/>
    </row>
    <row r="31" spans="1:16" ht="15.75" customHeight="1" x14ac:dyDescent="0.2">
      <c r="A31" s="20" t="s">
        <v>38</v>
      </c>
      <c r="B31" s="205" t="s">
        <v>39</v>
      </c>
      <c r="C31" s="206"/>
      <c r="D31" s="207"/>
      <c r="E31" s="21">
        <v>10</v>
      </c>
      <c r="F31" s="22"/>
      <c r="G31" s="22"/>
      <c r="H31" s="23">
        <f t="shared" si="2"/>
        <v>0</v>
      </c>
      <c r="I31" s="24"/>
      <c r="J31" s="24"/>
      <c r="K31" s="20" t="s">
        <v>81</v>
      </c>
      <c r="L31" s="25" t="s">
        <v>243</v>
      </c>
      <c r="M31" s="41">
        <v>20</v>
      </c>
      <c r="N31" s="42"/>
      <c r="O31" s="42"/>
      <c r="P31" s="42"/>
    </row>
    <row r="32" spans="1:16" ht="25.5" x14ac:dyDescent="0.2">
      <c r="A32" s="20" t="s">
        <v>40</v>
      </c>
      <c r="B32" s="205" t="s">
        <v>41</v>
      </c>
      <c r="C32" s="206"/>
      <c r="D32" s="207"/>
      <c r="E32" s="21">
        <v>11</v>
      </c>
      <c r="F32" s="22"/>
      <c r="G32" s="22"/>
      <c r="H32" s="23">
        <f>F32-G32</f>
        <v>0</v>
      </c>
      <c r="I32" s="24"/>
      <c r="J32" s="24"/>
      <c r="K32" s="20" t="s">
        <v>170</v>
      </c>
      <c r="L32" s="25" t="s">
        <v>244</v>
      </c>
      <c r="M32" s="18">
        <v>20</v>
      </c>
      <c r="N32" s="10"/>
      <c r="O32" s="10"/>
      <c r="P32" s="10"/>
    </row>
    <row r="33" spans="1:16" ht="12.75" x14ac:dyDescent="0.2">
      <c r="A33" s="167" t="s">
        <v>42</v>
      </c>
      <c r="B33" s="202" t="s">
        <v>245</v>
      </c>
      <c r="C33" s="203"/>
      <c r="D33" s="204"/>
      <c r="E33" s="168"/>
      <c r="F33" s="169">
        <f>SUM(F30:F32)</f>
        <v>0</v>
      </c>
      <c r="G33" s="169">
        <f>SUM(G30:G32)</f>
        <v>0</v>
      </c>
      <c r="H33" s="169">
        <f>SUM(H30:H32)</f>
        <v>0</v>
      </c>
      <c r="I33" s="169">
        <f>SUM(I30:I32)</f>
        <v>0</v>
      </c>
      <c r="J33" s="169">
        <f>SUM(J30:J32)</f>
        <v>0</v>
      </c>
      <c r="K33" s="167" t="s">
        <v>82</v>
      </c>
      <c r="L33" s="174" t="s">
        <v>246</v>
      </c>
      <c r="M33" s="175"/>
      <c r="N33" s="169">
        <f>SUM(N31:N32)</f>
        <v>0</v>
      </c>
      <c r="O33" s="169">
        <f>SUM(O31:O32)</f>
        <v>0</v>
      </c>
      <c r="P33" s="169">
        <f>SUM(P31:P32)</f>
        <v>0</v>
      </c>
    </row>
    <row r="34" spans="1:16" ht="12.75" customHeight="1" x14ac:dyDescent="0.2">
      <c r="A34" s="20" t="s">
        <v>43</v>
      </c>
      <c r="B34" s="205" t="s">
        <v>247</v>
      </c>
      <c r="C34" s="206"/>
      <c r="D34" s="207"/>
      <c r="E34" s="21">
        <v>12</v>
      </c>
      <c r="F34" s="22"/>
      <c r="G34" s="22"/>
      <c r="H34" s="23">
        <f>F34-G34</f>
        <v>0</v>
      </c>
      <c r="I34" s="24"/>
      <c r="J34" s="24"/>
      <c r="K34" s="20" t="s">
        <v>83</v>
      </c>
      <c r="L34" s="25" t="s">
        <v>248</v>
      </c>
      <c r="M34" s="18">
        <v>12</v>
      </c>
      <c r="N34" s="10"/>
      <c r="O34" s="10"/>
      <c r="P34" s="10"/>
    </row>
    <row r="35" spans="1:16" ht="18" customHeight="1" x14ac:dyDescent="0.2">
      <c r="A35" s="167" t="s">
        <v>44</v>
      </c>
      <c r="B35" s="202" t="s">
        <v>249</v>
      </c>
      <c r="C35" s="203"/>
      <c r="D35" s="204"/>
      <c r="E35" s="168"/>
      <c r="F35" s="169">
        <f>F22+F29+F33+F34</f>
        <v>0</v>
      </c>
      <c r="G35" s="169">
        <f>G22+G29+G33+G34</f>
        <v>0</v>
      </c>
      <c r="H35" s="169">
        <f>H22+H29+H33+H34</f>
        <v>0</v>
      </c>
      <c r="I35" s="172">
        <f>I22+I29+I33+I34</f>
        <v>0</v>
      </c>
      <c r="J35" s="169">
        <f>J22+J29+J33+J34</f>
        <v>0</v>
      </c>
      <c r="K35" s="167" t="s">
        <v>84</v>
      </c>
      <c r="L35" s="174" t="s">
        <v>249</v>
      </c>
      <c r="M35" s="175"/>
      <c r="N35" s="169">
        <f>N22+N29+N33+N34</f>
        <v>0</v>
      </c>
      <c r="O35" s="169">
        <f>O22+O29+O33+O34</f>
        <v>0</v>
      </c>
      <c r="P35" s="169">
        <f>P22+P29+P33+P34</f>
        <v>0</v>
      </c>
    </row>
    <row r="36" spans="1:16" ht="18" customHeight="1" x14ac:dyDescent="0.2">
      <c r="A36" s="43"/>
      <c r="B36" s="44"/>
      <c r="C36" s="44"/>
      <c r="D36" s="45"/>
      <c r="E36" s="46"/>
      <c r="F36" s="216" t="s">
        <v>250</v>
      </c>
      <c r="G36" s="216"/>
      <c r="H36" s="47">
        <f>+H35-N35</f>
        <v>0</v>
      </c>
      <c r="I36" s="47">
        <f>+I35-O35</f>
        <v>0</v>
      </c>
      <c r="J36" s="47">
        <f>+J35-P35</f>
        <v>0</v>
      </c>
      <c r="K36" s="46"/>
      <c r="L36" s="45"/>
      <c r="M36" s="46"/>
      <c r="N36" s="45"/>
      <c r="O36" s="45"/>
    </row>
  </sheetData>
  <mergeCells count="43">
    <mergeCell ref="B32:D32"/>
    <mergeCell ref="B33:D33"/>
    <mergeCell ref="B34:D34"/>
    <mergeCell ref="B35:D35"/>
    <mergeCell ref="F36:G36"/>
    <mergeCell ref="B27:D27"/>
    <mergeCell ref="B28:D28"/>
    <mergeCell ref="B29:D29"/>
    <mergeCell ref="B30:D30"/>
    <mergeCell ref="B31:D31"/>
    <mergeCell ref="B22:D22"/>
    <mergeCell ref="B23:D23"/>
    <mergeCell ref="B24:D24"/>
    <mergeCell ref="B25:D25"/>
    <mergeCell ref="B26:D26"/>
    <mergeCell ref="B17:D17"/>
    <mergeCell ref="B18:D18"/>
    <mergeCell ref="B19:D19"/>
    <mergeCell ref="B20:D20"/>
    <mergeCell ref="B21:D21"/>
    <mergeCell ref="B10:D10"/>
    <mergeCell ref="B11:D11"/>
    <mergeCell ref="B12:D12"/>
    <mergeCell ref="B15:D15"/>
    <mergeCell ref="B16:D16"/>
    <mergeCell ref="P4:P5"/>
    <mergeCell ref="B7:D7"/>
    <mergeCell ref="B8:D8"/>
    <mergeCell ref="B9:D9"/>
    <mergeCell ref="J4:J5"/>
    <mergeCell ref="K4:K6"/>
    <mergeCell ref="L4:L6"/>
    <mergeCell ref="M4:M6"/>
    <mergeCell ref="N4:N5"/>
    <mergeCell ref="A1:O1"/>
    <mergeCell ref="A2:O2"/>
    <mergeCell ref="A3:O3"/>
    <mergeCell ref="A4:A6"/>
    <mergeCell ref="B4:D6"/>
    <mergeCell ref="E4:E6"/>
    <mergeCell ref="F4:H5"/>
    <mergeCell ref="I4:I5"/>
    <mergeCell ref="O4:O5"/>
  </mergeCells>
  <dataValidations count="1">
    <dataValidation type="whole" allowBlank="1" showErrorMessage="1" errorTitle="Attention !" error="Valeur numérique attendue" sqref="N18:P20 F34:J34 N31:P32 N7:P16 F26:J28 F30:J32 F23:J24 F20:J21 N23:P28 F13:J18 N34:P34 F8:J11">
      <formula1>-9999999999999</formula1>
      <formula2>9999999999999</formula2>
    </dataValidation>
  </dataValidations>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5"/>
  <sheetViews>
    <sheetView showGridLines="0" workbookViewId="0">
      <selection activeCell="M11" sqref="M11"/>
    </sheetView>
  </sheetViews>
  <sheetFormatPr baseColWidth="10" defaultRowHeight="15" x14ac:dyDescent="0.25"/>
  <cols>
    <col min="1" max="1" width="4.7109375" customWidth="1"/>
    <col min="2" max="2" width="25.28515625" customWidth="1"/>
    <col min="3" max="3" width="7.42578125" customWidth="1"/>
    <col min="4" max="4" width="11.140625" customWidth="1"/>
    <col min="5" max="5" width="18.28515625" customWidth="1"/>
    <col min="6" max="6" width="3.140625" style="63" customWidth="1"/>
    <col min="7" max="7" width="4.42578125" customWidth="1"/>
    <col min="8" max="8" width="7.85546875" customWidth="1"/>
    <col min="9" max="9" width="20.140625" customWidth="1"/>
    <col min="10" max="10" width="18.140625" customWidth="1"/>
    <col min="11" max="11" width="16" customWidth="1"/>
  </cols>
  <sheetData>
    <row r="1" spans="1:12" s="44" customFormat="1" ht="15.75" customHeight="1" x14ac:dyDescent="0.25">
      <c r="B1" s="217"/>
      <c r="C1" s="217"/>
      <c r="D1" s="217"/>
      <c r="E1" s="217"/>
      <c r="F1" s="217"/>
      <c r="G1" s="217"/>
      <c r="H1" s="217"/>
      <c r="I1" s="217"/>
      <c r="J1" s="217"/>
      <c r="K1" s="49"/>
    </row>
    <row r="2" spans="1:12" s="44" customFormat="1" ht="15.75" customHeight="1" x14ac:dyDescent="0.25">
      <c r="A2" s="50"/>
      <c r="B2" s="51"/>
      <c r="C2" s="52"/>
      <c r="D2" s="52"/>
      <c r="E2" s="52"/>
      <c r="F2" s="52"/>
      <c r="G2" s="52"/>
      <c r="H2" s="52"/>
      <c r="I2" s="52"/>
      <c r="J2" s="52"/>
      <c r="K2" s="49"/>
    </row>
    <row r="3" spans="1:12" s="44" customFormat="1" ht="15.75" customHeight="1" x14ac:dyDescent="0.25">
      <c r="C3" s="53" t="s">
        <v>251</v>
      </c>
      <c r="D3" s="54"/>
      <c r="E3" s="55"/>
      <c r="F3" s="55"/>
      <c r="G3" s="56" t="s">
        <v>252</v>
      </c>
      <c r="H3" s="55">
        <v>12</v>
      </c>
      <c r="K3" s="43"/>
    </row>
    <row r="4" spans="1:12" s="44" customFormat="1" ht="7.5" customHeight="1" x14ac:dyDescent="0.25">
      <c r="K4" s="43"/>
    </row>
    <row r="5" spans="1:12" s="13" customFormat="1" ht="15" customHeight="1" x14ac:dyDescent="0.2">
      <c r="A5" s="218" t="s">
        <v>253</v>
      </c>
      <c r="B5" s="218"/>
      <c r="C5" s="218"/>
      <c r="D5" s="218"/>
      <c r="E5" s="218"/>
      <c r="F5" s="218"/>
      <c r="G5" s="218"/>
      <c r="H5" s="218"/>
      <c r="I5" s="218"/>
      <c r="J5" s="218"/>
    </row>
    <row r="6" spans="1:12" ht="11.25" customHeight="1" x14ac:dyDescent="0.25">
      <c r="A6" s="196" t="s">
        <v>4</v>
      </c>
      <c r="B6" s="219" t="s">
        <v>199</v>
      </c>
      <c r="C6" s="220"/>
      <c r="D6" s="220"/>
      <c r="E6" s="220"/>
      <c r="F6" s="221"/>
      <c r="G6" s="222" t="s">
        <v>200</v>
      </c>
      <c r="H6" s="196" t="s">
        <v>5</v>
      </c>
      <c r="I6" s="224" t="str">
        <f>'BILAN '!N4</f>
        <v>31/12/N</v>
      </c>
      <c r="J6" s="224" t="str">
        <f>'BILAN '!O4</f>
        <v>31/12/N-1</v>
      </c>
      <c r="K6" s="224" t="str">
        <f>'BILAN '!P4</f>
        <v>31/12/N-2</v>
      </c>
    </row>
    <row r="7" spans="1:12" ht="5.25" customHeight="1" x14ac:dyDescent="0.25">
      <c r="A7" s="196"/>
      <c r="B7" s="219"/>
      <c r="C7" s="220"/>
      <c r="D7" s="220"/>
      <c r="E7" s="220"/>
      <c r="F7" s="221"/>
      <c r="G7" s="223"/>
      <c r="H7" s="196"/>
      <c r="I7" s="224"/>
      <c r="J7" s="224"/>
      <c r="K7" s="224"/>
    </row>
    <row r="8" spans="1:12" ht="12.75" customHeight="1" x14ac:dyDescent="0.25">
      <c r="A8" s="196"/>
      <c r="B8" s="219"/>
      <c r="C8" s="220"/>
      <c r="D8" s="220"/>
      <c r="E8" s="220"/>
      <c r="F8" s="221"/>
      <c r="G8" s="223"/>
      <c r="H8" s="196"/>
      <c r="I8" s="8" t="s">
        <v>201</v>
      </c>
      <c r="J8" s="8" t="s">
        <v>201</v>
      </c>
      <c r="K8" s="8" t="s">
        <v>201</v>
      </c>
    </row>
    <row r="9" spans="1:12" ht="12" customHeight="1" x14ac:dyDescent="0.25">
      <c r="A9" s="9" t="s">
        <v>106</v>
      </c>
      <c r="B9" s="225" t="s">
        <v>87</v>
      </c>
      <c r="C9" s="225"/>
      <c r="D9" s="225"/>
      <c r="E9" s="225"/>
      <c r="F9" s="3" t="s">
        <v>86</v>
      </c>
      <c r="G9" s="4" t="s">
        <v>88</v>
      </c>
      <c r="H9" s="1">
        <v>21</v>
      </c>
      <c r="I9" s="10"/>
      <c r="J9" s="10"/>
      <c r="K9" s="10"/>
    </row>
    <row r="10" spans="1:12" ht="17.25" customHeight="1" x14ac:dyDescent="0.25">
      <c r="A10" s="11" t="s">
        <v>85</v>
      </c>
      <c r="B10" s="225" t="s">
        <v>90</v>
      </c>
      <c r="C10" s="225"/>
      <c r="D10" s="225"/>
      <c r="E10" s="225"/>
      <c r="F10" s="5"/>
      <c r="G10" s="4" t="s">
        <v>91</v>
      </c>
      <c r="H10" s="1">
        <v>22</v>
      </c>
      <c r="I10" s="10"/>
      <c r="J10" s="10"/>
      <c r="K10" s="10"/>
    </row>
    <row r="11" spans="1:12" ht="18.75" customHeight="1" x14ac:dyDescent="0.25">
      <c r="A11" s="11" t="s">
        <v>89</v>
      </c>
      <c r="B11" s="225" t="s">
        <v>93</v>
      </c>
      <c r="C11" s="225"/>
      <c r="D11" s="225"/>
      <c r="E11" s="225"/>
      <c r="F11" s="5"/>
      <c r="G11" s="4" t="s">
        <v>198</v>
      </c>
      <c r="H11" s="1">
        <v>6</v>
      </c>
      <c r="I11" s="10"/>
      <c r="J11" s="10"/>
      <c r="K11" s="10"/>
    </row>
    <row r="12" spans="1:12" ht="11.25" customHeight="1" x14ac:dyDescent="0.25">
      <c r="A12" s="179" t="s">
        <v>94</v>
      </c>
      <c r="B12" s="226" t="s">
        <v>173</v>
      </c>
      <c r="C12" s="227"/>
      <c r="D12" s="227"/>
      <c r="E12" s="228"/>
      <c r="F12" s="180"/>
      <c r="G12" s="167"/>
      <c r="H12" s="181"/>
      <c r="I12" s="182">
        <f>SUM(I9:I11)</f>
        <v>0</v>
      </c>
      <c r="J12" s="182">
        <f>IFERROR(SUM(J9:J11),"")</f>
        <v>0</v>
      </c>
      <c r="K12" s="182">
        <f>IFERROR(SUM(K9:K11),"")</f>
        <v>0</v>
      </c>
    </row>
    <row r="13" spans="1:12" ht="17.25" customHeight="1" x14ac:dyDescent="0.25">
      <c r="A13" s="11" t="s">
        <v>107</v>
      </c>
      <c r="B13" s="225" t="s">
        <v>97</v>
      </c>
      <c r="C13" s="225"/>
      <c r="D13" s="225"/>
      <c r="E13" s="225"/>
      <c r="F13" s="6" t="s">
        <v>96</v>
      </c>
      <c r="G13" s="4" t="s">
        <v>88</v>
      </c>
      <c r="H13" s="1">
        <v>21</v>
      </c>
      <c r="I13" s="10"/>
      <c r="J13" s="10"/>
      <c r="K13" s="10"/>
    </row>
    <row r="14" spans="1:12" ht="17.25" customHeight="1" x14ac:dyDescent="0.25">
      <c r="A14" s="11" t="s">
        <v>108</v>
      </c>
      <c r="B14" s="225" t="s">
        <v>99</v>
      </c>
      <c r="C14" s="225"/>
      <c r="D14" s="225"/>
      <c r="E14" s="225"/>
      <c r="F14" s="6" t="s">
        <v>154</v>
      </c>
      <c r="G14" s="4" t="s">
        <v>88</v>
      </c>
      <c r="H14" s="1">
        <v>21</v>
      </c>
      <c r="I14" s="10"/>
      <c r="J14" s="10"/>
      <c r="K14" s="10"/>
    </row>
    <row r="15" spans="1:12" ht="17.25" customHeight="1" x14ac:dyDescent="0.25">
      <c r="A15" s="11" t="s">
        <v>109</v>
      </c>
      <c r="B15" s="225" t="s">
        <v>105</v>
      </c>
      <c r="C15" s="225"/>
      <c r="D15" s="225"/>
      <c r="E15" s="225"/>
      <c r="F15" s="6" t="s">
        <v>164</v>
      </c>
      <c r="G15" s="4" t="s">
        <v>88</v>
      </c>
      <c r="H15" s="1">
        <v>21</v>
      </c>
      <c r="I15" s="10"/>
      <c r="J15" s="10"/>
      <c r="K15" s="10"/>
    </row>
    <row r="16" spans="1:12" ht="13.5" customHeight="1" x14ac:dyDescent="0.25">
      <c r="A16" s="179" t="s">
        <v>120</v>
      </c>
      <c r="B16" s="226" t="s">
        <v>174</v>
      </c>
      <c r="C16" s="227"/>
      <c r="D16" s="227"/>
      <c r="E16" s="228"/>
      <c r="F16" s="180"/>
      <c r="G16" s="167"/>
      <c r="H16" s="181"/>
      <c r="I16" s="182">
        <f>I9+I13+I14+I15</f>
        <v>0</v>
      </c>
      <c r="J16" s="182">
        <f>IFERROR(J9+J13+J14+J15,"")</f>
        <v>0</v>
      </c>
      <c r="K16" s="182">
        <f>IFERROR(K9+K13+K14+K15,"")</f>
        <v>0</v>
      </c>
      <c r="L16" s="57"/>
    </row>
    <row r="17" spans="1:11" ht="17.25" customHeight="1" x14ac:dyDescent="0.25">
      <c r="A17" s="11" t="s">
        <v>110</v>
      </c>
      <c r="B17" s="225" t="s">
        <v>101</v>
      </c>
      <c r="C17" s="225"/>
      <c r="D17" s="225"/>
      <c r="E17" s="225"/>
      <c r="F17" s="5"/>
      <c r="G17" s="4" t="s">
        <v>198</v>
      </c>
      <c r="H17" s="1">
        <v>6</v>
      </c>
      <c r="I17" s="10"/>
      <c r="J17" s="10"/>
      <c r="K17" s="10"/>
    </row>
    <row r="18" spans="1:11" ht="17.25" customHeight="1" x14ac:dyDescent="0.25">
      <c r="A18" s="11" t="s">
        <v>111</v>
      </c>
      <c r="B18" s="225" t="s">
        <v>103</v>
      </c>
      <c r="C18" s="225"/>
      <c r="D18" s="225"/>
      <c r="E18" s="225"/>
      <c r="F18" s="5"/>
      <c r="G18" s="7" t="s">
        <v>88</v>
      </c>
      <c r="H18" s="1">
        <v>21</v>
      </c>
      <c r="I18" s="10"/>
      <c r="J18" s="10"/>
      <c r="K18" s="10"/>
    </row>
    <row r="19" spans="1:11" ht="17.25" customHeight="1" x14ac:dyDescent="0.25">
      <c r="A19" s="11" t="s">
        <v>113</v>
      </c>
      <c r="B19" s="225" t="s">
        <v>175</v>
      </c>
      <c r="C19" s="225"/>
      <c r="D19" s="225"/>
      <c r="E19" s="225"/>
      <c r="F19" s="5"/>
      <c r="G19" s="7" t="s">
        <v>88</v>
      </c>
      <c r="H19" s="1">
        <v>21</v>
      </c>
      <c r="I19" s="10"/>
      <c r="J19" s="10"/>
      <c r="K19" s="10"/>
    </row>
    <row r="20" spans="1:11" ht="17.25" customHeight="1" x14ac:dyDescent="0.25">
      <c r="A20" s="11" t="s">
        <v>114</v>
      </c>
      <c r="B20" s="225" t="s">
        <v>112</v>
      </c>
      <c r="C20" s="225"/>
      <c r="D20" s="225"/>
      <c r="E20" s="225"/>
      <c r="F20" s="5"/>
      <c r="G20" s="4" t="s">
        <v>88</v>
      </c>
      <c r="H20" s="1">
        <v>21</v>
      </c>
      <c r="I20" s="10"/>
      <c r="J20" s="10"/>
      <c r="K20" s="10"/>
    </row>
    <row r="21" spans="1:11" ht="17.25" customHeight="1" x14ac:dyDescent="0.25">
      <c r="A21" s="11" t="s">
        <v>202</v>
      </c>
      <c r="B21" s="225" t="s">
        <v>176</v>
      </c>
      <c r="C21" s="225"/>
      <c r="D21" s="225"/>
      <c r="E21" s="225"/>
      <c r="F21" s="5"/>
      <c r="G21" s="4" t="s">
        <v>88</v>
      </c>
      <c r="H21" s="1">
        <v>12</v>
      </c>
      <c r="I21" s="10"/>
      <c r="J21" s="10"/>
      <c r="K21" s="10"/>
    </row>
    <row r="22" spans="1:11" ht="17.25" customHeight="1" x14ac:dyDescent="0.25">
      <c r="A22" s="11" t="s">
        <v>92</v>
      </c>
      <c r="B22" s="225" t="s">
        <v>177</v>
      </c>
      <c r="C22" s="225"/>
      <c r="D22" s="225"/>
      <c r="E22" s="225"/>
      <c r="F22" s="5"/>
      <c r="G22" s="4" t="s">
        <v>91</v>
      </c>
      <c r="H22" s="1">
        <v>22</v>
      </c>
      <c r="I22" s="10"/>
      <c r="J22" s="10"/>
      <c r="K22" s="10"/>
    </row>
    <row r="23" spans="1:11" ht="17.25" customHeight="1" x14ac:dyDescent="0.25">
      <c r="A23" s="11" t="s">
        <v>115</v>
      </c>
      <c r="B23" s="225" t="s">
        <v>178</v>
      </c>
      <c r="C23" s="225"/>
      <c r="D23" s="225"/>
      <c r="E23" s="225"/>
      <c r="F23" s="5"/>
      <c r="G23" s="4" t="s">
        <v>198</v>
      </c>
      <c r="H23" s="1">
        <v>6</v>
      </c>
      <c r="I23" s="10"/>
      <c r="J23" s="10"/>
      <c r="K23" s="10"/>
    </row>
    <row r="24" spans="1:11" ht="17.25" customHeight="1" x14ac:dyDescent="0.25">
      <c r="A24" s="11" t="s">
        <v>95</v>
      </c>
      <c r="B24" s="225" t="s">
        <v>179</v>
      </c>
      <c r="C24" s="225"/>
      <c r="D24" s="225"/>
      <c r="E24" s="225"/>
      <c r="F24" s="5"/>
      <c r="G24" s="4" t="s">
        <v>91</v>
      </c>
      <c r="H24" s="1">
        <v>22</v>
      </c>
      <c r="I24" s="10"/>
      <c r="J24" s="10"/>
      <c r="K24" s="10"/>
    </row>
    <row r="25" spans="1:11" ht="17.25" customHeight="1" x14ac:dyDescent="0.25">
      <c r="A25" s="11" t="s">
        <v>98</v>
      </c>
      <c r="B25" s="225" t="s">
        <v>180</v>
      </c>
      <c r="C25" s="225"/>
      <c r="D25" s="225"/>
      <c r="E25" s="225"/>
      <c r="F25" s="5"/>
      <c r="G25" s="4" t="s">
        <v>198</v>
      </c>
      <c r="H25" s="1">
        <v>6</v>
      </c>
      <c r="I25" s="10"/>
      <c r="J25" s="10"/>
      <c r="K25" s="10"/>
    </row>
    <row r="26" spans="1:11" ht="17.25" customHeight="1" x14ac:dyDescent="0.25">
      <c r="A26" s="11" t="s">
        <v>100</v>
      </c>
      <c r="B26" s="225" t="s">
        <v>181</v>
      </c>
      <c r="C26" s="225"/>
      <c r="D26" s="225"/>
      <c r="E26" s="225"/>
      <c r="F26" s="5"/>
      <c r="G26" s="4" t="s">
        <v>91</v>
      </c>
      <c r="H26" s="1">
        <v>23</v>
      </c>
      <c r="I26" s="10"/>
      <c r="J26" s="10"/>
      <c r="K26" s="10"/>
    </row>
    <row r="27" spans="1:11" ht="17.25" customHeight="1" x14ac:dyDescent="0.25">
      <c r="A27" s="11" t="s">
        <v>102</v>
      </c>
      <c r="B27" s="225" t="s">
        <v>182</v>
      </c>
      <c r="C27" s="225"/>
      <c r="D27" s="225"/>
      <c r="E27" s="225"/>
      <c r="F27" s="5"/>
      <c r="G27" s="4" t="s">
        <v>91</v>
      </c>
      <c r="H27" s="1">
        <v>24</v>
      </c>
      <c r="I27" s="10"/>
      <c r="J27" s="10"/>
      <c r="K27" s="10"/>
    </row>
    <row r="28" spans="1:11" ht="17.25" customHeight="1" x14ac:dyDescent="0.25">
      <c r="A28" s="11" t="s">
        <v>104</v>
      </c>
      <c r="B28" s="225" t="s">
        <v>116</v>
      </c>
      <c r="C28" s="225"/>
      <c r="D28" s="225"/>
      <c r="E28" s="225"/>
      <c r="F28" s="5"/>
      <c r="G28" s="4" t="s">
        <v>91</v>
      </c>
      <c r="H28" s="1">
        <v>25</v>
      </c>
      <c r="I28" s="10"/>
      <c r="J28" s="10"/>
      <c r="K28" s="10"/>
    </row>
    <row r="29" spans="1:11" ht="17.25" customHeight="1" x14ac:dyDescent="0.25">
      <c r="A29" s="11" t="s">
        <v>119</v>
      </c>
      <c r="B29" s="225" t="s">
        <v>117</v>
      </c>
      <c r="C29" s="225"/>
      <c r="D29" s="225"/>
      <c r="E29" s="225"/>
      <c r="F29" s="5"/>
      <c r="G29" s="4" t="s">
        <v>91</v>
      </c>
      <c r="H29" s="1">
        <v>26</v>
      </c>
      <c r="I29" s="10"/>
      <c r="J29" s="10"/>
      <c r="K29" s="10"/>
    </row>
    <row r="30" spans="1:11" ht="17.25" customHeight="1" x14ac:dyDescent="0.25">
      <c r="A30" s="179" t="s">
        <v>127</v>
      </c>
      <c r="B30" s="226" t="s">
        <v>183</v>
      </c>
      <c r="C30" s="227"/>
      <c r="D30" s="227"/>
      <c r="E30" s="228"/>
      <c r="F30" s="180"/>
      <c r="G30" s="167"/>
      <c r="H30" s="181"/>
      <c r="I30" s="182">
        <f>SUM(I17:I29) +I10+I11+I16</f>
        <v>0</v>
      </c>
      <c r="J30" s="182">
        <f>IFERROR(SUM(J17:J29) +J10+J11+J16,"")</f>
        <v>0</v>
      </c>
      <c r="K30" s="182">
        <f>IFERROR(SUM(K17:K29) +K10+K11+K16,"")</f>
        <v>0</v>
      </c>
    </row>
    <row r="31" spans="1:11" ht="17.25" customHeight="1" x14ac:dyDescent="0.25">
      <c r="A31" s="11" t="s">
        <v>203</v>
      </c>
      <c r="B31" s="225" t="s">
        <v>118</v>
      </c>
      <c r="C31" s="225"/>
      <c r="D31" s="225"/>
      <c r="E31" s="225"/>
      <c r="F31" s="5"/>
      <c r="G31" s="4" t="s">
        <v>91</v>
      </c>
      <c r="H31" s="1">
        <v>27</v>
      </c>
      <c r="I31" s="10"/>
      <c r="J31" s="10"/>
      <c r="K31" s="10"/>
    </row>
    <row r="32" spans="1:11" ht="17.25" customHeight="1" x14ac:dyDescent="0.25">
      <c r="A32" s="179" t="s">
        <v>128</v>
      </c>
      <c r="B32" s="226" t="s">
        <v>184</v>
      </c>
      <c r="C32" s="227"/>
      <c r="D32" s="227"/>
      <c r="E32" s="228"/>
      <c r="F32" s="180"/>
      <c r="G32" s="167"/>
      <c r="H32" s="181"/>
      <c r="I32" s="183">
        <f>I30+I31</f>
        <v>0</v>
      </c>
      <c r="J32" s="182">
        <f>IFERROR(J30+J31,"")</f>
        <v>0</v>
      </c>
      <c r="K32" s="182">
        <f>IFERROR(K30+K31,"")</f>
        <v>0</v>
      </c>
    </row>
    <row r="33" spans="1:11" ht="17.25" customHeight="1" x14ac:dyDescent="0.25">
      <c r="A33" s="11" t="s">
        <v>204</v>
      </c>
      <c r="B33" s="225" t="s">
        <v>185</v>
      </c>
      <c r="C33" s="225"/>
      <c r="D33" s="225"/>
      <c r="E33" s="225"/>
      <c r="F33" s="5"/>
      <c r="G33" s="4" t="s">
        <v>88</v>
      </c>
      <c r="H33" s="1">
        <v>28</v>
      </c>
      <c r="I33" s="10"/>
      <c r="J33" s="10"/>
      <c r="K33" s="10"/>
    </row>
    <row r="34" spans="1:11" ht="17.25" customHeight="1" x14ac:dyDescent="0.25">
      <c r="A34" s="11" t="s">
        <v>205</v>
      </c>
      <c r="B34" s="225" t="s">
        <v>186</v>
      </c>
      <c r="C34" s="225"/>
      <c r="D34" s="225"/>
      <c r="E34" s="225"/>
      <c r="F34" s="5"/>
      <c r="G34" s="4" t="s">
        <v>91</v>
      </c>
      <c r="H34" s="1" t="s">
        <v>171</v>
      </c>
      <c r="I34" s="10"/>
      <c r="J34" s="10"/>
      <c r="K34" s="10"/>
    </row>
    <row r="35" spans="1:11" ht="17.25" customHeight="1" x14ac:dyDescent="0.25">
      <c r="A35" s="179" t="s">
        <v>134</v>
      </c>
      <c r="B35" s="226" t="s">
        <v>187</v>
      </c>
      <c r="C35" s="227"/>
      <c r="D35" s="227"/>
      <c r="E35" s="228"/>
      <c r="F35" s="180"/>
      <c r="G35" s="167"/>
      <c r="H35" s="181"/>
      <c r="I35" s="182">
        <f>I32+I33+I34</f>
        <v>0</v>
      </c>
      <c r="J35" s="182">
        <f>J32+J33+J34</f>
        <v>0</v>
      </c>
      <c r="K35" s="182">
        <f>IFERROR(K32+K33+K34,"")</f>
        <v>0</v>
      </c>
    </row>
    <row r="36" spans="1:11" ht="17.25" customHeight="1" x14ac:dyDescent="0.25">
      <c r="A36" s="11" t="s">
        <v>121</v>
      </c>
      <c r="B36" s="225" t="s">
        <v>122</v>
      </c>
      <c r="C36" s="225"/>
      <c r="D36" s="225"/>
      <c r="E36" s="225"/>
      <c r="F36" s="5"/>
      <c r="G36" s="4" t="s">
        <v>88</v>
      </c>
      <c r="H36" s="1">
        <v>29</v>
      </c>
      <c r="I36" s="10"/>
      <c r="J36" s="10"/>
      <c r="K36" s="10"/>
    </row>
    <row r="37" spans="1:11" ht="17.25" customHeight="1" x14ac:dyDescent="0.25">
      <c r="A37" s="11" t="s">
        <v>123</v>
      </c>
      <c r="B37" s="225" t="s">
        <v>188</v>
      </c>
      <c r="C37" s="225"/>
      <c r="D37" s="225"/>
      <c r="E37" s="225"/>
      <c r="F37" s="5"/>
      <c r="G37" s="4" t="s">
        <v>88</v>
      </c>
      <c r="H37" s="1">
        <v>28</v>
      </c>
      <c r="I37" s="10"/>
      <c r="J37" s="10"/>
      <c r="K37" s="10"/>
    </row>
    <row r="38" spans="1:11" ht="17.25" customHeight="1" x14ac:dyDescent="0.25">
      <c r="A38" s="11" t="s">
        <v>129</v>
      </c>
      <c r="B38" s="225" t="s">
        <v>189</v>
      </c>
      <c r="C38" s="225"/>
      <c r="D38" s="225"/>
      <c r="E38" s="225"/>
      <c r="F38" s="5"/>
      <c r="G38" s="4" t="s">
        <v>88</v>
      </c>
      <c r="H38" s="1">
        <v>12</v>
      </c>
      <c r="I38" s="10"/>
      <c r="J38" s="10"/>
      <c r="K38" s="10"/>
    </row>
    <row r="39" spans="1:11" ht="17.25" customHeight="1" x14ac:dyDescent="0.25">
      <c r="A39" s="11" t="s">
        <v>124</v>
      </c>
      <c r="B39" s="225" t="s">
        <v>125</v>
      </c>
      <c r="C39" s="225"/>
      <c r="D39" s="225"/>
      <c r="E39" s="225"/>
      <c r="F39" s="5"/>
      <c r="G39" s="4" t="s">
        <v>91</v>
      </c>
      <c r="H39" s="1">
        <v>29</v>
      </c>
      <c r="I39" s="10"/>
      <c r="J39" s="10"/>
      <c r="K39" s="10"/>
    </row>
    <row r="40" spans="1:11" ht="17.25" customHeight="1" x14ac:dyDescent="0.25">
      <c r="A40" s="11" t="s">
        <v>126</v>
      </c>
      <c r="B40" s="225" t="s">
        <v>190</v>
      </c>
      <c r="C40" s="225"/>
      <c r="D40" s="225"/>
      <c r="E40" s="225"/>
      <c r="F40" s="5"/>
      <c r="G40" s="4" t="s">
        <v>91</v>
      </c>
      <c r="H40" s="1" t="s">
        <v>171</v>
      </c>
      <c r="I40" s="10"/>
      <c r="J40" s="10"/>
      <c r="K40" s="10"/>
    </row>
    <row r="41" spans="1:11" ht="17.25" customHeight="1" x14ac:dyDescent="0.25">
      <c r="A41" s="179" t="s">
        <v>206</v>
      </c>
      <c r="B41" s="226" t="s">
        <v>191</v>
      </c>
      <c r="C41" s="227"/>
      <c r="D41" s="227"/>
      <c r="E41" s="228"/>
      <c r="F41" s="180"/>
      <c r="G41" s="167"/>
      <c r="H41" s="181"/>
      <c r="I41" s="182">
        <f>SUM(I36:I40)</f>
        <v>0</v>
      </c>
      <c r="J41" s="182">
        <f>IFERROR(SUM(J36:J40),"")</f>
        <v>0</v>
      </c>
      <c r="K41" s="182">
        <f>IFERROR(SUM(K36:K40),"")</f>
        <v>0</v>
      </c>
    </row>
    <row r="42" spans="1:11" ht="17.25" customHeight="1" x14ac:dyDescent="0.25">
      <c r="A42" s="179" t="s">
        <v>207</v>
      </c>
      <c r="B42" s="226" t="s">
        <v>192</v>
      </c>
      <c r="C42" s="227"/>
      <c r="D42" s="227"/>
      <c r="E42" s="228"/>
      <c r="F42" s="180"/>
      <c r="G42" s="167"/>
      <c r="H42" s="181"/>
      <c r="I42" s="182">
        <f>I35+I41</f>
        <v>0</v>
      </c>
      <c r="J42" s="182">
        <f>IFERROR(J35+J41,"")</f>
        <v>0</v>
      </c>
      <c r="K42" s="182">
        <f>IFERROR(K35+K41,"")</f>
        <v>0</v>
      </c>
    </row>
    <row r="43" spans="1:11" ht="17.25" customHeight="1" x14ac:dyDescent="0.25">
      <c r="A43" s="11" t="s">
        <v>131</v>
      </c>
      <c r="B43" s="225" t="s">
        <v>130</v>
      </c>
      <c r="C43" s="225"/>
      <c r="D43" s="225"/>
      <c r="E43" s="225"/>
      <c r="F43" s="5"/>
      <c r="G43" s="4" t="s">
        <v>88</v>
      </c>
      <c r="H43" s="1" t="s">
        <v>172</v>
      </c>
      <c r="I43" s="10"/>
      <c r="J43" s="10"/>
      <c r="K43" s="10"/>
    </row>
    <row r="44" spans="1:11" ht="17.25" customHeight="1" x14ac:dyDescent="0.25">
      <c r="A44" s="11" t="s">
        <v>208</v>
      </c>
      <c r="B44" s="225" t="s">
        <v>193</v>
      </c>
      <c r="C44" s="225"/>
      <c r="D44" s="225"/>
      <c r="E44" s="225"/>
      <c r="F44" s="5"/>
      <c r="G44" s="4" t="s">
        <v>88</v>
      </c>
      <c r="H44" s="1">
        <v>30</v>
      </c>
      <c r="I44" s="10"/>
      <c r="J44" s="10"/>
      <c r="K44" s="10"/>
    </row>
    <row r="45" spans="1:11" ht="17.25" customHeight="1" x14ac:dyDescent="0.25">
      <c r="A45" s="11" t="s">
        <v>132</v>
      </c>
      <c r="B45" s="225" t="s">
        <v>194</v>
      </c>
      <c r="C45" s="225"/>
      <c r="D45" s="225"/>
      <c r="E45" s="225"/>
      <c r="F45" s="5"/>
      <c r="G45" s="4" t="s">
        <v>91</v>
      </c>
      <c r="H45" s="1" t="s">
        <v>172</v>
      </c>
      <c r="I45" s="10"/>
      <c r="J45" s="10"/>
      <c r="K45" s="10"/>
    </row>
    <row r="46" spans="1:11" ht="17.25" customHeight="1" x14ac:dyDescent="0.25">
      <c r="A46" s="11" t="s">
        <v>133</v>
      </c>
      <c r="B46" s="225" t="s">
        <v>195</v>
      </c>
      <c r="C46" s="225"/>
      <c r="D46" s="225"/>
      <c r="E46" s="225"/>
      <c r="F46" s="5"/>
      <c r="G46" s="4" t="s">
        <v>91</v>
      </c>
      <c r="H46" s="1">
        <v>30</v>
      </c>
      <c r="I46" s="10"/>
      <c r="J46" s="10"/>
      <c r="K46" s="10"/>
    </row>
    <row r="47" spans="1:11" ht="17.25" customHeight="1" x14ac:dyDescent="0.25">
      <c r="A47" s="179" t="s">
        <v>209</v>
      </c>
      <c r="B47" s="226" t="s">
        <v>196</v>
      </c>
      <c r="C47" s="227"/>
      <c r="D47" s="227"/>
      <c r="E47" s="228"/>
      <c r="F47" s="180"/>
      <c r="G47" s="167"/>
      <c r="H47" s="181"/>
      <c r="I47" s="182">
        <f>SUM(I43:I46)</f>
        <v>0</v>
      </c>
      <c r="J47" s="182">
        <f>IFERROR(SUM(J43:J46),"")</f>
        <v>0</v>
      </c>
      <c r="K47" s="182">
        <f>IFERROR(SUM(K43:K46),"")</f>
        <v>0</v>
      </c>
    </row>
    <row r="48" spans="1:11" ht="17.25" customHeight="1" x14ac:dyDescent="0.25">
      <c r="A48" s="11" t="s">
        <v>135</v>
      </c>
      <c r="B48" s="225" t="s">
        <v>136</v>
      </c>
      <c r="C48" s="225"/>
      <c r="D48" s="225"/>
      <c r="E48" s="225"/>
      <c r="F48" s="5"/>
      <c r="G48" s="4" t="s">
        <v>91</v>
      </c>
      <c r="H48" s="1">
        <v>30</v>
      </c>
      <c r="I48" s="10"/>
      <c r="J48" s="10"/>
      <c r="K48" s="10"/>
    </row>
    <row r="49" spans="1:11" ht="17.25" customHeight="1" x14ac:dyDescent="0.25">
      <c r="A49" s="11" t="s">
        <v>137</v>
      </c>
      <c r="B49" s="225" t="s">
        <v>138</v>
      </c>
      <c r="C49" s="225"/>
      <c r="D49" s="225"/>
      <c r="E49" s="225"/>
      <c r="F49" s="5"/>
      <c r="G49" s="4" t="s">
        <v>91</v>
      </c>
      <c r="H49" s="2">
        <v>37</v>
      </c>
      <c r="I49" s="10"/>
      <c r="J49" s="10"/>
      <c r="K49" s="10"/>
    </row>
    <row r="50" spans="1:11" ht="17.25" customHeight="1" x14ac:dyDescent="0.25">
      <c r="A50" s="179" t="s">
        <v>139</v>
      </c>
      <c r="B50" s="226" t="s">
        <v>197</v>
      </c>
      <c r="C50" s="227"/>
      <c r="D50" s="227"/>
      <c r="E50" s="228"/>
      <c r="F50" s="180"/>
      <c r="G50" s="184"/>
      <c r="H50" s="181"/>
      <c r="I50" s="169">
        <f>I42+I47+I48+I49</f>
        <v>0</v>
      </c>
      <c r="J50" s="169">
        <f>IFERROR(J42+J47+J48+J49,"")</f>
        <v>0</v>
      </c>
      <c r="K50" s="169">
        <f>IFERROR(K42+K47+K48+K49,"")</f>
        <v>0</v>
      </c>
    </row>
    <row r="51" spans="1:11" ht="16.5" customHeight="1" x14ac:dyDescent="0.25">
      <c r="A51" s="58" t="s">
        <v>254</v>
      </c>
      <c r="B51" s="59" t="s">
        <v>255</v>
      </c>
      <c r="C51" s="59"/>
      <c r="D51" s="59"/>
      <c r="E51" s="59"/>
      <c r="F51" s="60"/>
      <c r="G51" s="59"/>
    </row>
    <row r="52" spans="1:11" x14ac:dyDescent="0.25">
      <c r="A52" s="59"/>
      <c r="B52" s="229" t="s">
        <v>256</v>
      </c>
      <c r="C52" s="229"/>
      <c r="D52" s="229"/>
      <c r="E52" s="229"/>
      <c r="F52" s="229"/>
      <c r="G52" s="229"/>
      <c r="H52" s="48"/>
      <c r="I52" s="48"/>
    </row>
    <row r="53" spans="1:11" x14ac:dyDescent="0.25">
      <c r="A53" s="58" t="s">
        <v>257</v>
      </c>
      <c r="B53" s="59" t="s">
        <v>258</v>
      </c>
      <c r="C53" s="59"/>
      <c r="D53" s="59"/>
      <c r="E53" s="59"/>
      <c r="F53" s="59"/>
      <c r="G53" s="61"/>
      <c r="H53" s="48"/>
      <c r="I53" s="48"/>
    </row>
    <row r="54" spans="1:11" x14ac:dyDescent="0.25">
      <c r="A54" s="61"/>
      <c r="B54" s="59" t="s">
        <v>259</v>
      </c>
      <c r="C54" s="59"/>
      <c r="D54" s="59"/>
      <c r="E54" s="59"/>
      <c r="F54" s="59"/>
      <c r="G54" s="61"/>
    </row>
    <row r="55" spans="1:11" x14ac:dyDescent="0.25">
      <c r="A55" s="61"/>
      <c r="B55" s="61"/>
      <c r="C55" s="61"/>
      <c r="D55" s="61"/>
      <c r="E55" s="61"/>
      <c r="F55" s="62"/>
      <c r="G55" s="61"/>
    </row>
  </sheetData>
  <mergeCells count="52">
    <mergeCell ref="B50:E50"/>
    <mergeCell ref="B52:G52"/>
    <mergeCell ref="B44:E44"/>
    <mergeCell ref="B45:E45"/>
    <mergeCell ref="B46:E46"/>
    <mergeCell ref="B47:E47"/>
    <mergeCell ref="B48:E48"/>
    <mergeCell ref="B49:E49"/>
    <mergeCell ref="B43:E43"/>
    <mergeCell ref="B32:E32"/>
    <mergeCell ref="B33:E33"/>
    <mergeCell ref="B34:E34"/>
    <mergeCell ref="B35:E35"/>
    <mergeCell ref="B36:E36"/>
    <mergeCell ref="B37:E37"/>
    <mergeCell ref="B38:E38"/>
    <mergeCell ref="B39:E39"/>
    <mergeCell ref="B40:E40"/>
    <mergeCell ref="B41:E41"/>
    <mergeCell ref="B42:E42"/>
    <mergeCell ref="B31:E31"/>
    <mergeCell ref="B20:E20"/>
    <mergeCell ref="B21:E21"/>
    <mergeCell ref="B22:E22"/>
    <mergeCell ref="B23:E23"/>
    <mergeCell ref="B24:E24"/>
    <mergeCell ref="B25:E25"/>
    <mergeCell ref="B26:E26"/>
    <mergeCell ref="B27:E27"/>
    <mergeCell ref="B28:E28"/>
    <mergeCell ref="B29:E29"/>
    <mergeCell ref="B30:E30"/>
    <mergeCell ref="B19:E19"/>
    <mergeCell ref="K6:K7"/>
    <mergeCell ref="B9:E9"/>
    <mergeCell ref="B10:E10"/>
    <mergeCell ref="B11:E11"/>
    <mergeCell ref="B12:E12"/>
    <mergeCell ref="B13:E13"/>
    <mergeCell ref="B14:E14"/>
    <mergeCell ref="B15:E15"/>
    <mergeCell ref="B16:E16"/>
    <mergeCell ref="B17:E17"/>
    <mergeCell ref="B18:E18"/>
    <mergeCell ref="B1:J1"/>
    <mergeCell ref="A5:J5"/>
    <mergeCell ref="A6:A8"/>
    <mergeCell ref="B6:F8"/>
    <mergeCell ref="G6:G8"/>
    <mergeCell ref="H6:H8"/>
    <mergeCell ref="I6:I7"/>
    <mergeCell ref="J6:J7"/>
  </mergeCells>
  <dataValidations count="1">
    <dataValidation type="whole" allowBlank="1" showInputMessage="1" showErrorMessage="1" errorTitle="Attention !" error="Valeur numérique attendue" sqref="I13:K15 I33:K34 I48:K49 I9:K11 I36:K40 I31:K31 I43:K46 I17:K29">
      <formula1>-9999999999999</formula1>
      <formula2>9999999999999</formula2>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4"/>
  <sheetViews>
    <sheetView showGridLines="0" workbookViewId="0">
      <selection activeCell="G37" sqref="G37"/>
    </sheetView>
  </sheetViews>
  <sheetFormatPr baseColWidth="10" defaultRowHeight="15" x14ac:dyDescent="0.25"/>
  <cols>
    <col min="1" max="1" width="4.42578125" customWidth="1"/>
    <col min="2" max="2" width="25.140625" customWidth="1"/>
    <col min="3" max="3" width="8.42578125" customWidth="1"/>
    <col min="4" max="4" width="10.140625" customWidth="1"/>
    <col min="5" max="5" width="14.42578125" customWidth="1"/>
    <col min="6" max="6" width="15.140625" customWidth="1"/>
    <col min="7" max="7" width="3.140625" style="63" customWidth="1"/>
    <col min="8" max="8" width="6.42578125" customWidth="1"/>
    <col min="9" max="10" width="15.7109375" customWidth="1"/>
    <col min="11" max="11" width="14" customWidth="1"/>
  </cols>
  <sheetData>
    <row r="1" spans="1:14" x14ac:dyDescent="0.25">
      <c r="A1" s="238" t="s">
        <v>260</v>
      </c>
      <c r="B1" s="238"/>
      <c r="C1" s="238"/>
      <c r="D1" s="238"/>
      <c r="E1" s="238"/>
      <c r="F1" s="238"/>
      <c r="G1" s="238"/>
      <c r="H1" s="238"/>
      <c r="I1" s="238"/>
      <c r="J1" s="238"/>
    </row>
    <row r="2" spans="1:14" ht="27" customHeight="1" x14ac:dyDescent="0.25">
      <c r="A2" s="64"/>
      <c r="B2" s="64"/>
      <c r="C2" s="64"/>
      <c r="D2" s="64"/>
      <c r="E2" s="64"/>
      <c r="F2" s="64"/>
      <c r="G2" s="64"/>
      <c r="H2" s="239" t="s">
        <v>261</v>
      </c>
      <c r="I2" s="240"/>
      <c r="J2" s="241"/>
    </row>
    <row r="3" spans="1:14" s="45" customFormat="1" ht="15.75" customHeight="1" x14ac:dyDescent="0.25">
      <c r="C3" s="242"/>
      <c r="D3" s="243"/>
      <c r="E3" s="243"/>
      <c r="F3" s="243"/>
      <c r="G3" s="243"/>
      <c r="H3" s="243"/>
      <c r="I3" s="243"/>
      <c r="J3" s="243"/>
      <c r="K3" s="65"/>
      <c r="L3" s="65"/>
      <c r="M3" s="65"/>
      <c r="N3" s="65"/>
    </row>
    <row r="4" spans="1:14" s="45" customFormat="1" ht="15.75" customHeight="1" x14ac:dyDescent="0.25">
      <c r="C4" s="66"/>
      <c r="D4" s="67"/>
      <c r="E4" s="67"/>
      <c r="F4" s="67"/>
      <c r="G4" s="67"/>
      <c r="H4" s="67"/>
      <c r="I4" s="68"/>
      <c r="J4" s="65"/>
      <c r="K4" s="65"/>
      <c r="L4" s="65"/>
      <c r="N4" s="46"/>
    </row>
    <row r="5" spans="1:14" s="45" customFormat="1" ht="15.75" customHeight="1" x14ac:dyDescent="0.25">
      <c r="C5"/>
      <c r="D5"/>
      <c r="E5" s="69" t="s">
        <v>251</v>
      </c>
      <c r="F5" s="244"/>
      <c r="G5" s="245"/>
      <c r="H5" s="245"/>
      <c r="I5" s="68" t="s">
        <v>252</v>
      </c>
      <c r="J5" s="70">
        <v>12</v>
      </c>
      <c r="K5" s="46"/>
      <c r="M5" s="71"/>
      <c r="N5" s="46"/>
    </row>
    <row r="6" spans="1:14" s="45" customFormat="1" ht="15.75" customHeight="1" x14ac:dyDescent="0.25">
      <c r="C6"/>
      <c r="D6"/>
      <c r="E6"/>
      <c r="F6"/>
      <c r="G6"/>
      <c r="H6"/>
      <c r="I6"/>
      <c r="J6"/>
      <c r="K6" s="46"/>
      <c r="M6" s="71"/>
      <c r="N6" s="46"/>
    </row>
    <row r="7" spans="1:14" ht="28.5" customHeight="1" x14ac:dyDescent="0.25">
      <c r="A7" s="195" t="s">
        <v>262</v>
      </c>
      <c r="B7" s="195"/>
      <c r="C7" s="195"/>
      <c r="D7" s="195"/>
      <c r="E7" s="195"/>
      <c r="F7" s="195"/>
      <c r="G7" s="195"/>
      <c r="H7" s="195"/>
      <c r="I7" s="195"/>
      <c r="J7" s="195"/>
    </row>
    <row r="8" spans="1:14" ht="19.5" customHeight="1" x14ac:dyDescent="0.25">
      <c r="A8" s="230" t="s">
        <v>4</v>
      </c>
      <c r="B8" s="232" t="s">
        <v>199</v>
      </c>
      <c r="C8" s="233"/>
      <c r="D8" s="233"/>
      <c r="E8" s="233"/>
      <c r="F8" s="233"/>
      <c r="G8" s="234"/>
      <c r="H8" s="230" t="s">
        <v>5</v>
      </c>
      <c r="I8" s="72" t="s">
        <v>263</v>
      </c>
      <c r="J8" s="73" t="s">
        <v>263</v>
      </c>
      <c r="K8" s="73" t="s">
        <v>263</v>
      </c>
    </row>
    <row r="9" spans="1:14" s="75" customFormat="1" ht="14.25" customHeight="1" x14ac:dyDescent="0.25">
      <c r="A9" s="231"/>
      <c r="B9" s="235"/>
      <c r="C9" s="236"/>
      <c r="D9" s="236"/>
      <c r="E9" s="236"/>
      <c r="F9" s="236"/>
      <c r="G9" s="237"/>
      <c r="H9" s="231"/>
      <c r="I9" s="74" t="s">
        <v>264</v>
      </c>
      <c r="J9" s="74" t="s">
        <v>265</v>
      </c>
      <c r="K9" s="74" t="s">
        <v>266</v>
      </c>
    </row>
    <row r="10" spans="1:14" ht="30.95" customHeight="1" x14ac:dyDescent="0.25">
      <c r="A10" s="15" t="s">
        <v>140</v>
      </c>
      <c r="B10" s="247" t="s">
        <v>267</v>
      </c>
      <c r="C10" s="248"/>
      <c r="D10" s="248"/>
      <c r="E10" s="248"/>
      <c r="F10" s="249"/>
      <c r="G10" s="76" t="s">
        <v>86</v>
      </c>
      <c r="H10" s="77"/>
      <c r="I10" s="78"/>
      <c r="J10" s="78"/>
      <c r="K10" s="78"/>
    </row>
    <row r="11" spans="1:14" ht="17.25" customHeight="1" x14ac:dyDescent="0.25">
      <c r="A11" s="20"/>
      <c r="B11" s="250" t="s">
        <v>141</v>
      </c>
      <c r="C11" s="251"/>
      <c r="D11" s="251"/>
      <c r="E11" s="251"/>
      <c r="F11" s="252"/>
      <c r="G11" s="79"/>
      <c r="H11" s="80"/>
      <c r="I11" s="81"/>
      <c r="J11" s="81"/>
      <c r="K11" s="81"/>
    </row>
    <row r="12" spans="1:14" ht="18.95" customHeight="1" x14ac:dyDescent="0.25">
      <c r="A12" s="20" t="s">
        <v>142</v>
      </c>
      <c r="B12" s="211" t="s">
        <v>143</v>
      </c>
      <c r="C12" s="211"/>
      <c r="D12" s="211"/>
      <c r="E12" s="211"/>
      <c r="F12" s="211"/>
      <c r="G12" s="82"/>
      <c r="H12" s="83"/>
      <c r="I12" s="31"/>
      <c r="J12" s="31"/>
      <c r="K12" s="31"/>
    </row>
    <row r="13" spans="1:14" ht="18.95" customHeight="1" x14ac:dyDescent="0.25">
      <c r="A13" s="20" t="s">
        <v>144</v>
      </c>
      <c r="B13" s="253" t="s">
        <v>268</v>
      </c>
      <c r="C13" s="246"/>
      <c r="D13" s="246"/>
      <c r="E13" s="246"/>
      <c r="F13" s="246"/>
      <c r="G13" s="82"/>
      <c r="H13" s="83"/>
      <c r="I13" s="31"/>
      <c r="J13" s="31"/>
      <c r="K13" s="31"/>
    </row>
    <row r="14" spans="1:14" ht="18.95" customHeight="1" x14ac:dyDescent="0.25">
      <c r="A14" s="20" t="s">
        <v>145</v>
      </c>
      <c r="B14" s="246" t="s">
        <v>269</v>
      </c>
      <c r="C14" s="246"/>
      <c r="D14" s="246"/>
      <c r="E14" s="246"/>
      <c r="F14" s="246"/>
      <c r="G14" s="82"/>
      <c r="H14" s="83"/>
      <c r="I14" s="31"/>
      <c r="J14" s="31"/>
      <c r="K14" s="31"/>
    </row>
    <row r="15" spans="1:14" ht="18.95" customHeight="1" x14ac:dyDescent="0.25">
      <c r="A15" s="20" t="s">
        <v>146</v>
      </c>
      <c r="B15" s="246" t="s">
        <v>270</v>
      </c>
      <c r="C15" s="246"/>
      <c r="D15" s="246"/>
      <c r="E15" s="246"/>
      <c r="F15" s="246"/>
      <c r="G15" s="82"/>
      <c r="H15" s="83"/>
      <c r="I15" s="31"/>
      <c r="J15" s="31"/>
      <c r="K15" s="31"/>
    </row>
    <row r="16" spans="1:14" ht="18.95" customHeight="1" x14ac:dyDescent="0.25">
      <c r="A16" s="20" t="s">
        <v>147</v>
      </c>
      <c r="B16" s="246" t="s">
        <v>271</v>
      </c>
      <c r="C16" s="246"/>
      <c r="D16" s="246"/>
      <c r="E16" s="246"/>
      <c r="F16" s="246"/>
      <c r="G16" s="16"/>
      <c r="H16" s="84"/>
      <c r="I16" s="85"/>
      <c r="J16" s="85"/>
      <c r="K16" s="85"/>
    </row>
    <row r="17" spans="1:11" ht="18.95" customHeight="1" x14ac:dyDescent="0.25">
      <c r="A17" s="20"/>
      <c r="B17" s="211" t="s">
        <v>272</v>
      </c>
      <c r="C17" s="211"/>
      <c r="D17" s="211"/>
      <c r="E17" s="211"/>
      <c r="F17" s="211"/>
      <c r="G17" s="16"/>
      <c r="H17" s="86"/>
      <c r="I17" s="87"/>
      <c r="J17" s="87"/>
      <c r="K17" s="87"/>
    </row>
    <row r="18" spans="1:11" ht="18.95" customHeight="1" x14ac:dyDescent="0.25">
      <c r="A18" s="20"/>
      <c r="B18" s="88" t="s">
        <v>273</v>
      </c>
      <c r="C18" s="254">
        <f>I13+I14+I15+I16</f>
        <v>0</v>
      </c>
      <c r="D18" s="255"/>
      <c r="E18" s="89">
        <f>IFERROR(J13+J14+J15+J16,"")</f>
        <v>0</v>
      </c>
      <c r="F18" s="88"/>
      <c r="G18" s="27"/>
      <c r="H18" s="90"/>
      <c r="I18" s="91"/>
      <c r="J18" s="91"/>
      <c r="K18" s="91"/>
    </row>
    <row r="19" spans="1:11" ht="18.95" customHeight="1" x14ac:dyDescent="0.25">
      <c r="A19" s="167" t="s">
        <v>148</v>
      </c>
      <c r="B19" s="202" t="s">
        <v>274</v>
      </c>
      <c r="C19" s="256"/>
      <c r="D19" s="256"/>
      <c r="E19" s="256"/>
      <c r="F19" s="204"/>
      <c r="G19" s="178" t="s">
        <v>96</v>
      </c>
      <c r="H19" s="185"/>
      <c r="I19" s="186">
        <f>SUM(I12:I16)</f>
        <v>0</v>
      </c>
      <c r="J19" s="186">
        <f>IFERROR(SUM(J12:J16),"")</f>
        <v>0</v>
      </c>
      <c r="K19" s="186">
        <f>IFERROR(SUM(K12:K16),"")</f>
        <v>0</v>
      </c>
    </row>
    <row r="20" spans="1:11" ht="17.25" customHeight="1" x14ac:dyDescent="0.25">
      <c r="A20" s="20"/>
      <c r="B20" s="250" t="s">
        <v>275</v>
      </c>
      <c r="C20" s="251"/>
      <c r="D20" s="251"/>
      <c r="E20" s="251"/>
      <c r="F20" s="252"/>
      <c r="G20" s="79"/>
      <c r="H20" s="80"/>
      <c r="I20" s="81"/>
      <c r="J20" s="81"/>
      <c r="K20" s="81"/>
    </row>
    <row r="21" spans="1:11" ht="18.95" customHeight="1" x14ac:dyDescent="0.25">
      <c r="A21" s="20" t="s">
        <v>149</v>
      </c>
      <c r="B21" s="246" t="s">
        <v>276</v>
      </c>
      <c r="C21" s="246"/>
      <c r="D21" s="246"/>
      <c r="E21" s="246"/>
      <c r="F21" s="246"/>
      <c r="G21" s="82"/>
      <c r="H21" s="83"/>
      <c r="I21" s="31"/>
      <c r="J21" s="31"/>
      <c r="K21" s="31"/>
    </row>
    <row r="22" spans="1:11" ht="18.95" customHeight="1" x14ac:dyDescent="0.25">
      <c r="A22" s="20" t="s">
        <v>150</v>
      </c>
      <c r="B22" s="246" t="s">
        <v>277</v>
      </c>
      <c r="C22" s="246"/>
      <c r="D22" s="246"/>
      <c r="E22" s="246"/>
      <c r="F22" s="246"/>
      <c r="G22" s="82"/>
      <c r="H22" s="83"/>
      <c r="I22" s="31"/>
      <c r="J22" s="31"/>
      <c r="K22" s="31"/>
    </row>
    <row r="23" spans="1:11" ht="18.95" customHeight="1" x14ac:dyDescent="0.25">
      <c r="A23" s="20" t="s">
        <v>151</v>
      </c>
      <c r="B23" s="246" t="s">
        <v>278</v>
      </c>
      <c r="C23" s="246"/>
      <c r="D23" s="246"/>
      <c r="E23" s="246"/>
      <c r="F23" s="246"/>
      <c r="G23" s="82"/>
      <c r="H23" s="83"/>
      <c r="I23" s="31"/>
      <c r="J23" s="31"/>
      <c r="K23" s="31"/>
    </row>
    <row r="24" spans="1:11" ht="18.95" customHeight="1" x14ac:dyDescent="0.25">
      <c r="A24" s="20" t="s">
        <v>152</v>
      </c>
      <c r="B24" s="246" t="s">
        <v>279</v>
      </c>
      <c r="C24" s="246"/>
      <c r="D24" s="246"/>
      <c r="E24" s="246"/>
      <c r="F24" s="246"/>
      <c r="G24" s="82"/>
      <c r="H24" s="83"/>
      <c r="I24" s="31"/>
      <c r="J24" s="31"/>
      <c r="K24" s="31"/>
    </row>
    <row r="25" spans="1:11" ht="18.95" customHeight="1" x14ac:dyDescent="0.25">
      <c r="A25" s="20" t="s">
        <v>155</v>
      </c>
      <c r="B25" s="246" t="s">
        <v>280</v>
      </c>
      <c r="C25" s="246"/>
      <c r="D25" s="246"/>
      <c r="E25" s="246"/>
      <c r="F25" s="246"/>
      <c r="G25" s="82"/>
      <c r="H25" s="83"/>
      <c r="I25" s="31"/>
      <c r="J25" s="31"/>
      <c r="K25" s="31"/>
    </row>
    <row r="26" spans="1:11" ht="18.95" customHeight="1" x14ac:dyDescent="0.25">
      <c r="A26" s="167" t="s">
        <v>153</v>
      </c>
      <c r="B26" s="202" t="s">
        <v>281</v>
      </c>
      <c r="C26" s="203"/>
      <c r="D26" s="203"/>
      <c r="E26" s="203"/>
      <c r="F26" s="204"/>
      <c r="G26" s="167" t="s">
        <v>154</v>
      </c>
      <c r="H26" s="187"/>
      <c r="I26" s="183">
        <f>SUM(I21:I25)</f>
        <v>0</v>
      </c>
      <c r="J26" s="183">
        <f>IFERROR(SUM(J21:J25),"")</f>
        <v>0</v>
      </c>
      <c r="K26" s="183">
        <f>IFERROR(SUM(K21:K25),"")</f>
        <v>0</v>
      </c>
    </row>
    <row r="27" spans="1:11" ht="17.25" customHeight="1" x14ac:dyDescent="0.25">
      <c r="A27" s="20"/>
      <c r="B27" s="250" t="s">
        <v>282</v>
      </c>
      <c r="C27" s="251"/>
      <c r="D27" s="251"/>
      <c r="E27" s="251"/>
      <c r="F27" s="252"/>
      <c r="G27" s="79"/>
      <c r="H27" s="80"/>
      <c r="I27" s="81"/>
      <c r="J27" s="81"/>
      <c r="K27" s="81"/>
    </row>
    <row r="28" spans="1:11" ht="18.95" customHeight="1" x14ac:dyDescent="0.25">
      <c r="A28" s="20" t="s">
        <v>156</v>
      </c>
      <c r="B28" s="246" t="s">
        <v>283</v>
      </c>
      <c r="C28" s="246"/>
      <c r="D28" s="246"/>
      <c r="E28" s="246"/>
      <c r="F28" s="246"/>
      <c r="G28" s="82"/>
      <c r="H28" s="83"/>
      <c r="I28" s="31"/>
      <c r="J28" s="31"/>
      <c r="K28" s="31"/>
    </row>
    <row r="29" spans="1:11" ht="18.95" customHeight="1" x14ac:dyDescent="0.25">
      <c r="A29" s="20" t="s">
        <v>157</v>
      </c>
      <c r="B29" s="246" t="s">
        <v>284</v>
      </c>
      <c r="C29" s="246"/>
      <c r="D29" s="246"/>
      <c r="E29" s="246"/>
      <c r="F29" s="246"/>
      <c r="G29" s="82"/>
      <c r="H29" s="83"/>
      <c r="I29" s="31"/>
      <c r="J29" s="31"/>
      <c r="K29" s="31"/>
    </row>
    <row r="30" spans="1:11" ht="18.95" customHeight="1" x14ac:dyDescent="0.25">
      <c r="A30" s="20" t="s">
        <v>158</v>
      </c>
      <c r="B30" s="246" t="s">
        <v>285</v>
      </c>
      <c r="C30" s="246"/>
      <c r="D30" s="246"/>
      <c r="E30" s="246"/>
      <c r="F30" s="246"/>
      <c r="G30" s="82"/>
      <c r="H30" s="83"/>
      <c r="I30" s="31"/>
      <c r="J30" s="31"/>
      <c r="K30" s="31"/>
    </row>
    <row r="31" spans="1:11" ht="18.95" customHeight="1" x14ac:dyDescent="0.25">
      <c r="A31" s="20" t="s">
        <v>159</v>
      </c>
      <c r="B31" s="246" t="s">
        <v>286</v>
      </c>
      <c r="C31" s="246"/>
      <c r="D31" s="246"/>
      <c r="E31" s="246"/>
      <c r="F31" s="246"/>
      <c r="G31" s="82"/>
      <c r="H31" s="83"/>
      <c r="I31" s="31"/>
      <c r="J31" s="31"/>
      <c r="K31" s="31"/>
    </row>
    <row r="32" spans="1:11" ht="18.95" customHeight="1" x14ac:dyDescent="0.25">
      <c r="A32" s="167" t="s">
        <v>163</v>
      </c>
      <c r="B32" s="202" t="s">
        <v>287</v>
      </c>
      <c r="C32" s="203"/>
      <c r="D32" s="203"/>
      <c r="E32" s="203"/>
      <c r="F32" s="204"/>
      <c r="G32" s="167" t="s">
        <v>164</v>
      </c>
      <c r="H32" s="187"/>
      <c r="I32" s="183">
        <f>SUM(I28:I31)</f>
        <v>0</v>
      </c>
      <c r="J32" s="183">
        <f>IFERROR(SUM(J28:J31),"")</f>
        <v>0</v>
      </c>
      <c r="K32" s="183">
        <f>IFERROR(SUM(K28:K31),"")</f>
        <v>0</v>
      </c>
    </row>
    <row r="33" spans="1:11" ht="17.25" customHeight="1" x14ac:dyDescent="0.25">
      <c r="A33" s="20"/>
      <c r="B33" s="250" t="s">
        <v>288</v>
      </c>
      <c r="C33" s="251"/>
      <c r="D33" s="251"/>
      <c r="E33" s="251"/>
      <c r="F33" s="252"/>
      <c r="G33" s="79"/>
      <c r="H33" s="80"/>
      <c r="I33" s="81"/>
      <c r="J33" s="81"/>
      <c r="K33" s="81"/>
    </row>
    <row r="34" spans="1:11" ht="18.95" customHeight="1" x14ac:dyDescent="0.25">
      <c r="A34" s="20" t="s">
        <v>160</v>
      </c>
      <c r="B34" s="253" t="s">
        <v>289</v>
      </c>
      <c r="C34" s="246"/>
      <c r="D34" s="246"/>
      <c r="E34" s="246"/>
      <c r="F34" s="246"/>
      <c r="G34" s="82"/>
      <c r="H34" s="83"/>
      <c r="I34" s="31"/>
      <c r="J34" s="31"/>
      <c r="K34" s="31"/>
    </row>
    <row r="35" spans="1:11" ht="18.95" customHeight="1" x14ac:dyDescent="0.25">
      <c r="A35" s="20" t="s">
        <v>161</v>
      </c>
      <c r="B35" s="253" t="s">
        <v>290</v>
      </c>
      <c r="C35" s="246"/>
      <c r="D35" s="246"/>
      <c r="E35" s="246"/>
      <c r="F35" s="246"/>
      <c r="G35" s="82"/>
      <c r="H35" s="83"/>
      <c r="I35" s="31"/>
      <c r="J35" s="31"/>
      <c r="K35" s="31"/>
    </row>
    <row r="36" spans="1:11" ht="18.95" customHeight="1" x14ac:dyDescent="0.25">
      <c r="A36" s="20" t="s">
        <v>162</v>
      </c>
      <c r="B36" s="246" t="s">
        <v>291</v>
      </c>
      <c r="C36" s="246"/>
      <c r="D36" s="246"/>
      <c r="E36" s="246"/>
      <c r="F36" s="246"/>
      <c r="G36" s="82"/>
      <c r="H36" s="83"/>
      <c r="I36" s="31"/>
      <c r="J36" s="31"/>
      <c r="K36" s="31"/>
    </row>
    <row r="37" spans="1:11" ht="18.95" customHeight="1" x14ac:dyDescent="0.25">
      <c r="A37" s="167" t="s">
        <v>165</v>
      </c>
      <c r="B37" s="202" t="s">
        <v>292</v>
      </c>
      <c r="C37" s="203"/>
      <c r="D37" s="203"/>
      <c r="E37" s="203"/>
      <c r="F37" s="204"/>
      <c r="G37" s="167" t="s">
        <v>166</v>
      </c>
      <c r="H37" s="187"/>
      <c r="I37" s="183">
        <f>SUM(I34:I36)</f>
        <v>0</v>
      </c>
      <c r="J37" s="183">
        <f>IFERROR(SUM(J34:J36),"")</f>
        <v>0</v>
      </c>
      <c r="K37" s="183">
        <f>IFERROR(SUM(K34:K36),"")</f>
        <v>0</v>
      </c>
    </row>
    <row r="38" spans="1:11" ht="18.95" customHeight="1" x14ac:dyDescent="0.25">
      <c r="A38" s="167" t="s">
        <v>167</v>
      </c>
      <c r="B38" s="202" t="s">
        <v>293</v>
      </c>
      <c r="C38" s="203"/>
      <c r="D38" s="203"/>
      <c r="E38" s="203"/>
      <c r="F38" s="204"/>
      <c r="G38" s="167" t="s">
        <v>168</v>
      </c>
      <c r="H38" s="187"/>
      <c r="I38" s="183">
        <f>I32+I37</f>
        <v>0</v>
      </c>
      <c r="J38" s="183">
        <f>IFERROR(J32+J37,"")</f>
        <v>0</v>
      </c>
      <c r="K38" s="183">
        <f>IFERROR(K32+K37,"")</f>
        <v>0</v>
      </c>
    </row>
    <row r="39" spans="1:11" ht="18.95" customHeight="1" x14ac:dyDescent="0.25">
      <c r="A39" s="167" t="s">
        <v>169</v>
      </c>
      <c r="B39" s="214" t="s">
        <v>294</v>
      </c>
      <c r="C39" s="214"/>
      <c r="D39" s="214"/>
      <c r="E39" s="214"/>
      <c r="F39" s="214"/>
      <c r="G39" s="167" t="s">
        <v>295</v>
      </c>
      <c r="H39" s="187"/>
      <c r="I39" s="188">
        <f>I19+I26+I38</f>
        <v>0</v>
      </c>
      <c r="J39" s="188">
        <f>J19+J26+J38</f>
        <v>0</v>
      </c>
      <c r="K39" s="188">
        <f>K19+K26+K38</f>
        <v>0</v>
      </c>
    </row>
    <row r="40" spans="1:11" ht="24.75" customHeight="1" x14ac:dyDescent="0.25">
      <c r="A40" s="176" t="s">
        <v>296</v>
      </c>
      <c r="B40" s="257" t="s">
        <v>297</v>
      </c>
      <c r="C40" s="258"/>
      <c r="D40" s="258"/>
      <c r="E40" s="258"/>
      <c r="F40" s="189"/>
      <c r="G40" s="176" t="s">
        <v>298</v>
      </c>
      <c r="H40" s="190"/>
      <c r="I40" s="191">
        <f>I10+I39</f>
        <v>0</v>
      </c>
      <c r="J40" s="191">
        <f>IFERROR(J10+J39,"")</f>
        <v>0</v>
      </c>
      <c r="K40" s="191">
        <f>IFERROR(K10+K39,"")</f>
        <v>0</v>
      </c>
    </row>
    <row r="41" spans="1:11" ht="14.25" customHeight="1" x14ac:dyDescent="0.25">
      <c r="A41" s="178"/>
      <c r="B41" s="259" t="s">
        <v>299</v>
      </c>
      <c r="C41" s="260"/>
      <c r="D41" s="260"/>
      <c r="E41" s="261"/>
      <c r="F41" s="262"/>
      <c r="G41" s="178"/>
      <c r="H41" s="192"/>
      <c r="I41" s="186">
        <f>+'BILAN '!H33-'BILAN '!N33</f>
        <v>0</v>
      </c>
      <c r="J41" s="186">
        <f>+'BILAN '!I33-'BILAN '!O33</f>
        <v>0</v>
      </c>
      <c r="K41" s="186">
        <f>+'BILAN '!J33-'BILAN '!P33</f>
        <v>0</v>
      </c>
    </row>
    <row r="42" spans="1:11" ht="30.6" customHeight="1" x14ac:dyDescent="0.25">
      <c r="A42" s="92" t="s">
        <v>300</v>
      </c>
      <c r="B42" s="263" t="s">
        <v>301</v>
      </c>
      <c r="C42" s="263"/>
      <c r="D42" s="263"/>
      <c r="E42" s="263"/>
      <c r="F42" s="263"/>
      <c r="G42" s="93"/>
      <c r="H42" s="93"/>
      <c r="I42" s="93"/>
      <c r="J42" s="93"/>
    </row>
    <row r="43" spans="1:11" x14ac:dyDescent="0.25">
      <c r="A43" s="94" t="s">
        <v>200</v>
      </c>
      <c r="B43" s="48" t="s">
        <v>302</v>
      </c>
      <c r="C43" s="48"/>
      <c r="D43" s="48"/>
      <c r="E43" s="48"/>
    </row>
    <row r="44" spans="1:11" ht="14.45" customHeight="1" x14ac:dyDescent="0.25">
      <c r="A44" s="94" t="s">
        <v>303</v>
      </c>
      <c r="B44" s="48" t="s">
        <v>304</v>
      </c>
      <c r="C44" s="48"/>
      <c r="D44" s="48"/>
      <c r="E44" s="48"/>
    </row>
  </sheetData>
  <mergeCells count="42">
    <mergeCell ref="B40:E40"/>
    <mergeCell ref="B41:D41"/>
    <mergeCell ref="E41:F41"/>
    <mergeCell ref="B42:F42"/>
    <mergeCell ref="B34:F34"/>
    <mergeCell ref="B35:F35"/>
    <mergeCell ref="B36:F36"/>
    <mergeCell ref="B37:F37"/>
    <mergeCell ref="B38:F38"/>
    <mergeCell ref="B39:F39"/>
    <mergeCell ref="B33:F33"/>
    <mergeCell ref="B22:F22"/>
    <mergeCell ref="B23:F23"/>
    <mergeCell ref="B24:F24"/>
    <mergeCell ref="B25:F25"/>
    <mergeCell ref="B26:F26"/>
    <mergeCell ref="B27:F27"/>
    <mergeCell ref="B28:F28"/>
    <mergeCell ref="B29:F29"/>
    <mergeCell ref="B30:F30"/>
    <mergeCell ref="B31:F31"/>
    <mergeCell ref="B32:F32"/>
    <mergeCell ref="B21:F21"/>
    <mergeCell ref="B10:F10"/>
    <mergeCell ref="B11:F11"/>
    <mergeCell ref="B12:F12"/>
    <mergeCell ref="B13:F13"/>
    <mergeCell ref="B14:F14"/>
    <mergeCell ref="B15:F15"/>
    <mergeCell ref="B16:F16"/>
    <mergeCell ref="B17:F17"/>
    <mergeCell ref="C18:D18"/>
    <mergeCell ref="B19:F19"/>
    <mergeCell ref="B20:F20"/>
    <mergeCell ref="A8:A9"/>
    <mergeCell ref="B8:G9"/>
    <mergeCell ref="H8:H9"/>
    <mergeCell ref="A1:J1"/>
    <mergeCell ref="H2:J2"/>
    <mergeCell ref="C3:J3"/>
    <mergeCell ref="F5:H5"/>
    <mergeCell ref="A7:J7"/>
  </mergeCells>
  <dataValidations count="1">
    <dataValidation type="whole" allowBlank="1" showInputMessage="1" showErrorMessage="1" errorTitle="Attention !" error="Valeur numérique attendue" sqref="I39:K39 C18:E18 I21:K25 I28:K31 I34:K36 I12:K16">
      <formula1>-9999999999999</formula1>
      <formula2>9999999999999</formula2>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workbookViewId="0">
      <selection activeCell="N7" sqref="N7"/>
    </sheetView>
  </sheetViews>
  <sheetFormatPr baseColWidth="10" defaultRowHeight="15" x14ac:dyDescent="0.25"/>
  <cols>
    <col min="1" max="1" width="16.7109375" customWidth="1"/>
    <col min="2" max="2" width="18.85546875" customWidth="1"/>
    <col min="3" max="3" width="9" customWidth="1"/>
    <col min="4" max="4" width="8.85546875" customWidth="1"/>
    <col min="5" max="5" width="8.85546875" hidden="1" customWidth="1"/>
    <col min="6" max="6" width="11.5703125" customWidth="1"/>
    <col min="7" max="7" width="17.5703125" customWidth="1"/>
  </cols>
  <sheetData>
    <row r="1" spans="1:7" ht="3.75" customHeight="1" x14ac:dyDescent="0.25">
      <c r="A1" s="95"/>
    </row>
    <row r="2" spans="1:7" ht="15.75" thickBot="1" x14ac:dyDescent="0.3">
      <c r="A2" s="264" t="s">
        <v>305</v>
      </c>
      <c r="B2" s="264"/>
      <c r="C2" s="264"/>
      <c r="D2" s="264"/>
      <c r="E2" s="264"/>
      <c r="F2" s="264"/>
      <c r="G2" s="264"/>
    </row>
    <row r="3" spans="1:7" s="99" customFormat="1" ht="12" thickBot="1" x14ac:dyDescent="0.25">
      <c r="A3" s="96" t="s">
        <v>306</v>
      </c>
      <c r="B3" s="97" t="s">
        <v>307</v>
      </c>
      <c r="C3" s="98" t="str">
        <f>'BILAN '!N4</f>
        <v>31/12/N</v>
      </c>
      <c r="D3" s="98" t="str">
        <f>'BILAN '!O4</f>
        <v>31/12/N-1</v>
      </c>
      <c r="E3" s="98">
        <f>+[1]BILAN!J4</f>
        <v>45291</v>
      </c>
      <c r="F3" s="97" t="s">
        <v>308</v>
      </c>
      <c r="G3" s="97" t="s">
        <v>309</v>
      </c>
    </row>
    <row r="4" spans="1:7" ht="23.25" thickBot="1" x14ac:dyDescent="0.3">
      <c r="A4" s="100" t="s">
        <v>310</v>
      </c>
      <c r="B4" s="101" t="s">
        <v>311</v>
      </c>
      <c r="C4" s="102" t="e">
        <f>+'BILAN '!N17/'BILAN '!N35</f>
        <v>#DIV/0!</v>
      </c>
      <c r="D4" s="102" t="e">
        <f>+'BILAN '!O17/'BILAN '!O35</f>
        <v>#DIV/0!</v>
      </c>
      <c r="E4" s="102">
        <f>+[1]BILAN!P17/[1]BILAN!P35</f>
        <v>0.12094695246984571</v>
      </c>
      <c r="F4" s="103" t="s">
        <v>312</v>
      </c>
      <c r="G4" s="104" t="e">
        <f>IF(C4&lt;=20%,"Non respecté.","Respecté.")</f>
        <v>#DIV/0!</v>
      </c>
    </row>
    <row r="5" spans="1:7" ht="34.5" thickBot="1" x14ac:dyDescent="0.3">
      <c r="A5" s="100" t="s">
        <v>313</v>
      </c>
      <c r="B5" s="101" t="s">
        <v>314</v>
      </c>
      <c r="C5" s="105" t="e">
        <f>'BILAN '!N21/'Résume Financier'!C10</f>
        <v>#DIV/0!</v>
      </c>
      <c r="D5" s="105" t="e">
        <f>'BILAN '!O21/'Résume Financier'!D10</f>
        <v>#DIV/0!</v>
      </c>
      <c r="E5" s="105">
        <f>[1]BILAN!P21/[1]Carnevas!E10</f>
        <v>4.5334059691807118</v>
      </c>
      <c r="F5" s="103" t="s">
        <v>315</v>
      </c>
      <c r="G5" s="104" t="e">
        <f>IF(C5&lt;=4," Respecté"," Non respecté.")</f>
        <v>#DIV/0!</v>
      </c>
    </row>
    <row r="6" spans="1:7" ht="23.25" thickBot="1" x14ac:dyDescent="0.3">
      <c r="A6" s="100" t="s">
        <v>316</v>
      </c>
      <c r="B6" s="101" t="s">
        <v>317</v>
      </c>
      <c r="C6" s="105" t="e">
        <f>+C.RESULTAT!I50/C.RESULTAT!I16</f>
        <v>#DIV/0!</v>
      </c>
      <c r="D6" s="105" t="e">
        <f>+C.RESULTAT!J50/C.RESULTAT!J16</f>
        <v>#DIV/0!</v>
      </c>
      <c r="E6" s="105">
        <f>+[1]C.RESULTAT!K50/[1]C.RESULTAT!K16</f>
        <v>1.965950686818815E-2</v>
      </c>
      <c r="F6" s="103" t="s">
        <v>318</v>
      </c>
      <c r="G6" s="104" t="e">
        <f>IF(C6&gt;=0,"Respecté.","Respecté.")</f>
        <v>#DIV/0!</v>
      </c>
    </row>
    <row r="7" spans="1:7" ht="68.25" thickBot="1" x14ac:dyDescent="0.3">
      <c r="A7" s="100" t="s">
        <v>319</v>
      </c>
      <c r="B7" s="101" t="s">
        <v>320</v>
      </c>
      <c r="C7" s="105" t="e">
        <f>('BILAN '!H29-'BILAN '!H33)/('BILAN '!N29-'BILAN '!N33)</f>
        <v>#DIV/0!</v>
      </c>
      <c r="D7" s="105" t="e">
        <f>('BILAN '!I29-'BILAN '!I33)/('BILAN '!O29-'BILAN '!O33)</f>
        <v>#DIV/0!</v>
      </c>
      <c r="E7" s="105">
        <f>+([1]BILAN!J29+[1]BILAN!J33)/([1]BILAN!P29+[1]BILAN!P33)</f>
        <v>1.3013195764257517</v>
      </c>
      <c r="F7" s="103" t="s">
        <v>321</v>
      </c>
      <c r="G7" s="104" t="e">
        <f>+IF(C7&lt;1,"Non respecté","Respecté")</f>
        <v>#DIV/0!</v>
      </c>
    </row>
  </sheetData>
  <mergeCells count="1">
    <mergeCell ref="A2:G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8"/>
  <sheetViews>
    <sheetView workbookViewId="0">
      <selection activeCell="C5" sqref="C5"/>
    </sheetView>
  </sheetViews>
  <sheetFormatPr baseColWidth="10" defaultRowHeight="12" x14ac:dyDescent="0.2"/>
  <cols>
    <col min="1" max="1" width="19.42578125" style="106" customWidth="1"/>
    <col min="2" max="2" width="32.7109375" style="106" customWidth="1"/>
    <col min="3" max="3" width="9.28515625" style="106" customWidth="1"/>
    <col min="4" max="5" width="9" style="106" customWidth="1"/>
    <col min="6" max="6" width="50.85546875" style="106" customWidth="1"/>
    <col min="7" max="257" width="11.42578125" style="106"/>
    <col min="258" max="258" width="22.140625" style="106" customWidth="1"/>
    <col min="259" max="259" width="39" style="106" customWidth="1"/>
    <col min="260" max="260" width="11" style="106" customWidth="1"/>
    <col min="261" max="261" width="10.85546875" style="106" customWidth="1"/>
    <col min="262" max="262" width="39.42578125" style="106" customWidth="1"/>
    <col min="263" max="513" width="11.42578125" style="106"/>
    <col min="514" max="514" width="22.140625" style="106" customWidth="1"/>
    <col min="515" max="515" width="39" style="106" customWidth="1"/>
    <col min="516" max="516" width="11" style="106" customWidth="1"/>
    <col min="517" max="517" width="10.85546875" style="106" customWidth="1"/>
    <col min="518" max="518" width="39.42578125" style="106" customWidth="1"/>
    <col min="519" max="769" width="11.42578125" style="106"/>
    <col min="770" max="770" width="22.140625" style="106" customWidth="1"/>
    <col min="771" max="771" width="39" style="106" customWidth="1"/>
    <col min="772" max="772" width="11" style="106" customWidth="1"/>
    <col min="773" max="773" width="10.85546875" style="106" customWidth="1"/>
    <col min="774" max="774" width="39.42578125" style="106" customWidth="1"/>
    <col min="775" max="1025" width="11.42578125" style="106"/>
    <col min="1026" max="1026" width="22.140625" style="106" customWidth="1"/>
    <col min="1027" max="1027" width="39" style="106" customWidth="1"/>
    <col min="1028" max="1028" width="11" style="106" customWidth="1"/>
    <col min="1029" max="1029" width="10.85546875" style="106" customWidth="1"/>
    <col min="1030" max="1030" width="39.42578125" style="106" customWidth="1"/>
    <col min="1031" max="1281" width="11.42578125" style="106"/>
    <col min="1282" max="1282" width="22.140625" style="106" customWidth="1"/>
    <col min="1283" max="1283" width="39" style="106" customWidth="1"/>
    <col min="1284" max="1284" width="11" style="106" customWidth="1"/>
    <col min="1285" max="1285" width="10.85546875" style="106" customWidth="1"/>
    <col min="1286" max="1286" width="39.42578125" style="106" customWidth="1"/>
    <col min="1287" max="1537" width="11.42578125" style="106"/>
    <col min="1538" max="1538" width="22.140625" style="106" customWidth="1"/>
    <col min="1539" max="1539" width="39" style="106" customWidth="1"/>
    <col min="1540" max="1540" width="11" style="106" customWidth="1"/>
    <col min="1541" max="1541" width="10.85546875" style="106" customWidth="1"/>
    <col min="1542" max="1542" width="39.42578125" style="106" customWidth="1"/>
    <col min="1543" max="1793" width="11.42578125" style="106"/>
    <col min="1794" max="1794" width="22.140625" style="106" customWidth="1"/>
    <col min="1795" max="1795" width="39" style="106" customWidth="1"/>
    <col min="1796" max="1796" width="11" style="106" customWidth="1"/>
    <col min="1797" max="1797" width="10.85546875" style="106" customWidth="1"/>
    <col min="1798" max="1798" width="39.42578125" style="106" customWidth="1"/>
    <col min="1799" max="2049" width="11.42578125" style="106"/>
    <col min="2050" max="2050" width="22.140625" style="106" customWidth="1"/>
    <col min="2051" max="2051" width="39" style="106" customWidth="1"/>
    <col min="2052" max="2052" width="11" style="106" customWidth="1"/>
    <col min="2053" max="2053" width="10.85546875" style="106" customWidth="1"/>
    <col min="2054" max="2054" width="39.42578125" style="106" customWidth="1"/>
    <col min="2055" max="2305" width="11.42578125" style="106"/>
    <col min="2306" max="2306" width="22.140625" style="106" customWidth="1"/>
    <col min="2307" max="2307" width="39" style="106" customWidth="1"/>
    <col min="2308" max="2308" width="11" style="106" customWidth="1"/>
    <col min="2309" max="2309" width="10.85546875" style="106" customWidth="1"/>
    <col min="2310" max="2310" width="39.42578125" style="106" customWidth="1"/>
    <col min="2311" max="2561" width="11.42578125" style="106"/>
    <col min="2562" max="2562" width="22.140625" style="106" customWidth="1"/>
    <col min="2563" max="2563" width="39" style="106" customWidth="1"/>
    <col min="2564" max="2564" width="11" style="106" customWidth="1"/>
    <col min="2565" max="2565" width="10.85546875" style="106" customWidth="1"/>
    <col min="2566" max="2566" width="39.42578125" style="106" customWidth="1"/>
    <col min="2567" max="2817" width="11.42578125" style="106"/>
    <col min="2818" max="2818" width="22.140625" style="106" customWidth="1"/>
    <col min="2819" max="2819" width="39" style="106" customWidth="1"/>
    <col min="2820" max="2820" width="11" style="106" customWidth="1"/>
    <col min="2821" max="2821" width="10.85546875" style="106" customWidth="1"/>
    <col min="2822" max="2822" width="39.42578125" style="106" customWidth="1"/>
    <col min="2823" max="3073" width="11.42578125" style="106"/>
    <col min="3074" max="3074" width="22.140625" style="106" customWidth="1"/>
    <col min="3075" max="3075" width="39" style="106" customWidth="1"/>
    <col min="3076" max="3076" width="11" style="106" customWidth="1"/>
    <col min="3077" max="3077" width="10.85546875" style="106" customWidth="1"/>
    <col min="3078" max="3078" width="39.42578125" style="106" customWidth="1"/>
    <col min="3079" max="3329" width="11.42578125" style="106"/>
    <col min="3330" max="3330" width="22.140625" style="106" customWidth="1"/>
    <col min="3331" max="3331" width="39" style="106" customWidth="1"/>
    <col min="3332" max="3332" width="11" style="106" customWidth="1"/>
    <col min="3333" max="3333" width="10.85546875" style="106" customWidth="1"/>
    <col min="3334" max="3334" width="39.42578125" style="106" customWidth="1"/>
    <col min="3335" max="3585" width="11.42578125" style="106"/>
    <col min="3586" max="3586" width="22.140625" style="106" customWidth="1"/>
    <col min="3587" max="3587" width="39" style="106" customWidth="1"/>
    <col min="3588" max="3588" width="11" style="106" customWidth="1"/>
    <col min="3589" max="3589" width="10.85546875" style="106" customWidth="1"/>
    <col min="3590" max="3590" width="39.42578125" style="106" customWidth="1"/>
    <col min="3591" max="3841" width="11.42578125" style="106"/>
    <col min="3842" max="3842" width="22.140625" style="106" customWidth="1"/>
    <col min="3843" max="3843" width="39" style="106" customWidth="1"/>
    <col min="3844" max="3844" width="11" style="106" customWidth="1"/>
    <col min="3845" max="3845" width="10.85546875" style="106" customWidth="1"/>
    <col min="3846" max="3846" width="39.42578125" style="106" customWidth="1"/>
    <col min="3847" max="4097" width="11.42578125" style="106"/>
    <col min="4098" max="4098" width="22.140625" style="106" customWidth="1"/>
    <col min="4099" max="4099" width="39" style="106" customWidth="1"/>
    <col min="4100" max="4100" width="11" style="106" customWidth="1"/>
    <col min="4101" max="4101" width="10.85546875" style="106" customWidth="1"/>
    <col min="4102" max="4102" width="39.42578125" style="106" customWidth="1"/>
    <col min="4103" max="4353" width="11.42578125" style="106"/>
    <col min="4354" max="4354" width="22.140625" style="106" customWidth="1"/>
    <col min="4355" max="4355" width="39" style="106" customWidth="1"/>
    <col min="4356" max="4356" width="11" style="106" customWidth="1"/>
    <col min="4357" max="4357" width="10.85546875" style="106" customWidth="1"/>
    <col min="4358" max="4358" width="39.42578125" style="106" customWidth="1"/>
    <col min="4359" max="4609" width="11.42578125" style="106"/>
    <col min="4610" max="4610" width="22.140625" style="106" customWidth="1"/>
    <col min="4611" max="4611" width="39" style="106" customWidth="1"/>
    <col min="4612" max="4612" width="11" style="106" customWidth="1"/>
    <col min="4613" max="4613" width="10.85546875" style="106" customWidth="1"/>
    <col min="4614" max="4614" width="39.42578125" style="106" customWidth="1"/>
    <col min="4615" max="4865" width="11.42578125" style="106"/>
    <col min="4866" max="4866" width="22.140625" style="106" customWidth="1"/>
    <col min="4867" max="4867" width="39" style="106" customWidth="1"/>
    <col min="4868" max="4868" width="11" style="106" customWidth="1"/>
    <col min="4869" max="4869" width="10.85546875" style="106" customWidth="1"/>
    <col min="4870" max="4870" width="39.42578125" style="106" customWidth="1"/>
    <col min="4871" max="5121" width="11.42578125" style="106"/>
    <col min="5122" max="5122" width="22.140625" style="106" customWidth="1"/>
    <col min="5123" max="5123" width="39" style="106" customWidth="1"/>
    <col min="5124" max="5124" width="11" style="106" customWidth="1"/>
    <col min="5125" max="5125" width="10.85546875" style="106" customWidth="1"/>
    <col min="5126" max="5126" width="39.42578125" style="106" customWidth="1"/>
    <col min="5127" max="5377" width="11.42578125" style="106"/>
    <col min="5378" max="5378" width="22.140625" style="106" customWidth="1"/>
    <col min="5379" max="5379" width="39" style="106" customWidth="1"/>
    <col min="5380" max="5380" width="11" style="106" customWidth="1"/>
    <col min="5381" max="5381" width="10.85546875" style="106" customWidth="1"/>
    <col min="5382" max="5382" width="39.42578125" style="106" customWidth="1"/>
    <col min="5383" max="5633" width="11.42578125" style="106"/>
    <col min="5634" max="5634" width="22.140625" style="106" customWidth="1"/>
    <col min="5635" max="5635" width="39" style="106" customWidth="1"/>
    <col min="5636" max="5636" width="11" style="106" customWidth="1"/>
    <col min="5637" max="5637" width="10.85546875" style="106" customWidth="1"/>
    <col min="5638" max="5638" width="39.42578125" style="106" customWidth="1"/>
    <col min="5639" max="5889" width="11.42578125" style="106"/>
    <col min="5890" max="5890" width="22.140625" style="106" customWidth="1"/>
    <col min="5891" max="5891" width="39" style="106" customWidth="1"/>
    <col min="5892" max="5892" width="11" style="106" customWidth="1"/>
    <col min="5893" max="5893" width="10.85546875" style="106" customWidth="1"/>
    <col min="5894" max="5894" width="39.42578125" style="106" customWidth="1"/>
    <col min="5895" max="6145" width="11.42578125" style="106"/>
    <col min="6146" max="6146" width="22.140625" style="106" customWidth="1"/>
    <col min="6147" max="6147" width="39" style="106" customWidth="1"/>
    <col min="6148" max="6148" width="11" style="106" customWidth="1"/>
    <col min="6149" max="6149" width="10.85546875" style="106" customWidth="1"/>
    <col min="6150" max="6150" width="39.42578125" style="106" customWidth="1"/>
    <col min="6151" max="6401" width="11.42578125" style="106"/>
    <col min="6402" max="6402" width="22.140625" style="106" customWidth="1"/>
    <col min="6403" max="6403" width="39" style="106" customWidth="1"/>
    <col min="6404" max="6404" width="11" style="106" customWidth="1"/>
    <col min="6405" max="6405" width="10.85546875" style="106" customWidth="1"/>
    <col min="6406" max="6406" width="39.42578125" style="106" customWidth="1"/>
    <col min="6407" max="6657" width="11.42578125" style="106"/>
    <col min="6658" max="6658" width="22.140625" style="106" customWidth="1"/>
    <col min="6659" max="6659" width="39" style="106" customWidth="1"/>
    <col min="6660" max="6660" width="11" style="106" customWidth="1"/>
    <col min="6661" max="6661" width="10.85546875" style="106" customWidth="1"/>
    <col min="6662" max="6662" width="39.42578125" style="106" customWidth="1"/>
    <col min="6663" max="6913" width="11.42578125" style="106"/>
    <col min="6914" max="6914" width="22.140625" style="106" customWidth="1"/>
    <col min="6915" max="6915" width="39" style="106" customWidth="1"/>
    <col min="6916" max="6916" width="11" style="106" customWidth="1"/>
    <col min="6917" max="6917" width="10.85546875" style="106" customWidth="1"/>
    <col min="6918" max="6918" width="39.42578125" style="106" customWidth="1"/>
    <col min="6919" max="7169" width="11.42578125" style="106"/>
    <col min="7170" max="7170" width="22.140625" style="106" customWidth="1"/>
    <col min="7171" max="7171" width="39" style="106" customWidth="1"/>
    <col min="7172" max="7172" width="11" style="106" customWidth="1"/>
    <col min="7173" max="7173" width="10.85546875" style="106" customWidth="1"/>
    <col min="7174" max="7174" width="39.42578125" style="106" customWidth="1"/>
    <col min="7175" max="7425" width="11.42578125" style="106"/>
    <col min="7426" max="7426" width="22.140625" style="106" customWidth="1"/>
    <col min="7427" max="7427" width="39" style="106" customWidth="1"/>
    <col min="7428" max="7428" width="11" style="106" customWidth="1"/>
    <col min="7429" max="7429" width="10.85546875" style="106" customWidth="1"/>
    <col min="7430" max="7430" width="39.42578125" style="106" customWidth="1"/>
    <col min="7431" max="7681" width="11.42578125" style="106"/>
    <col min="7682" max="7682" width="22.140625" style="106" customWidth="1"/>
    <col min="7683" max="7683" width="39" style="106" customWidth="1"/>
    <col min="7684" max="7684" width="11" style="106" customWidth="1"/>
    <col min="7685" max="7685" width="10.85546875" style="106" customWidth="1"/>
    <col min="7686" max="7686" width="39.42578125" style="106" customWidth="1"/>
    <col min="7687" max="7937" width="11.42578125" style="106"/>
    <col min="7938" max="7938" width="22.140625" style="106" customWidth="1"/>
    <col min="7939" max="7939" width="39" style="106" customWidth="1"/>
    <col min="7940" max="7940" width="11" style="106" customWidth="1"/>
    <col min="7941" max="7941" width="10.85546875" style="106" customWidth="1"/>
    <col min="7942" max="7942" width="39.42578125" style="106" customWidth="1"/>
    <col min="7943" max="8193" width="11.42578125" style="106"/>
    <col min="8194" max="8194" width="22.140625" style="106" customWidth="1"/>
    <col min="8195" max="8195" width="39" style="106" customWidth="1"/>
    <col min="8196" max="8196" width="11" style="106" customWidth="1"/>
    <col min="8197" max="8197" width="10.85546875" style="106" customWidth="1"/>
    <col min="8198" max="8198" width="39.42578125" style="106" customWidth="1"/>
    <col min="8199" max="8449" width="11.42578125" style="106"/>
    <col min="8450" max="8450" width="22.140625" style="106" customWidth="1"/>
    <col min="8451" max="8451" width="39" style="106" customWidth="1"/>
    <col min="8452" max="8452" width="11" style="106" customWidth="1"/>
    <col min="8453" max="8453" width="10.85546875" style="106" customWidth="1"/>
    <col min="8454" max="8454" width="39.42578125" style="106" customWidth="1"/>
    <col min="8455" max="8705" width="11.42578125" style="106"/>
    <col min="8706" max="8706" width="22.140625" style="106" customWidth="1"/>
    <col min="8707" max="8707" width="39" style="106" customWidth="1"/>
    <col min="8708" max="8708" width="11" style="106" customWidth="1"/>
    <col min="8709" max="8709" width="10.85546875" style="106" customWidth="1"/>
    <col min="8710" max="8710" width="39.42578125" style="106" customWidth="1"/>
    <col min="8711" max="8961" width="11.42578125" style="106"/>
    <col min="8962" max="8962" width="22.140625" style="106" customWidth="1"/>
    <col min="8963" max="8963" width="39" style="106" customWidth="1"/>
    <col min="8964" max="8964" width="11" style="106" customWidth="1"/>
    <col min="8965" max="8965" width="10.85546875" style="106" customWidth="1"/>
    <col min="8966" max="8966" width="39.42578125" style="106" customWidth="1"/>
    <col min="8967" max="9217" width="11.42578125" style="106"/>
    <col min="9218" max="9218" width="22.140625" style="106" customWidth="1"/>
    <col min="9219" max="9219" width="39" style="106" customWidth="1"/>
    <col min="9220" max="9220" width="11" style="106" customWidth="1"/>
    <col min="9221" max="9221" width="10.85546875" style="106" customWidth="1"/>
    <col min="9222" max="9222" width="39.42578125" style="106" customWidth="1"/>
    <col min="9223" max="9473" width="11.42578125" style="106"/>
    <col min="9474" max="9474" width="22.140625" style="106" customWidth="1"/>
    <col min="9475" max="9475" width="39" style="106" customWidth="1"/>
    <col min="9476" max="9476" width="11" style="106" customWidth="1"/>
    <col min="9477" max="9477" width="10.85546875" style="106" customWidth="1"/>
    <col min="9478" max="9478" width="39.42578125" style="106" customWidth="1"/>
    <col min="9479" max="9729" width="11.42578125" style="106"/>
    <col min="9730" max="9730" width="22.140625" style="106" customWidth="1"/>
    <col min="9731" max="9731" width="39" style="106" customWidth="1"/>
    <col min="9732" max="9732" width="11" style="106" customWidth="1"/>
    <col min="9733" max="9733" width="10.85546875" style="106" customWidth="1"/>
    <col min="9734" max="9734" width="39.42578125" style="106" customWidth="1"/>
    <col min="9735" max="9985" width="11.42578125" style="106"/>
    <col min="9986" max="9986" width="22.140625" style="106" customWidth="1"/>
    <col min="9987" max="9987" width="39" style="106" customWidth="1"/>
    <col min="9988" max="9988" width="11" style="106" customWidth="1"/>
    <col min="9989" max="9989" width="10.85546875" style="106" customWidth="1"/>
    <col min="9990" max="9990" width="39.42578125" style="106" customWidth="1"/>
    <col min="9991" max="10241" width="11.42578125" style="106"/>
    <col min="10242" max="10242" width="22.140625" style="106" customWidth="1"/>
    <col min="10243" max="10243" width="39" style="106" customWidth="1"/>
    <col min="10244" max="10244" width="11" style="106" customWidth="1"/>
    <col min="10245" max="10245" width="10.85546875" style="106" customWidth="1"/>
    <col min="10246" max="10246" width="39.42578125" style="106" customWidth="1"/>
    <col min="10247" max="10497" width="11.42578125" style="106"/>
    <col min="10498" max="10498" width="22.140625" style="106" customWidth="1"/>
    <col min="10499" max="10499" width="39" style="106" customWidth="1"/>
    <col min="10500" max="10500" width="11" style="106" customWidth="1"/>
    <col min="10501" max="10501" width="10.85546875" style="106" customWidth="1"/>
    <col min="10502" max="10502" width="39.42578125" style="106" customWidth="1"/>
    <col min="10503" max="10753" width="11.42578125" style="106"/>
    <col min="10754" max="10754" width="22.140625" style="106" customWidth="1"/>
    <col min="10755" max="10755" width="39" style="106" customWidth="1"/>
    <col min="10756" max="10756" width="11" style="106" customWidth="1"/>
    <col min="10757" max="10757" width="10.85546875" style="106" customWidth="1"/>
    <col min="10758" max="10758" width="39.42578125" style="106" customWidth="1"/>
    <col min="10759" max="11009" width="11.42578125" style="106"/>
    <col min="11010" max="11010" width="22.140625" style="106" customWidth="1"/>
    <col min="11011" max="11011" width="39" style="106" customWidth="1"/>
    <col min="11012" max="11012" width="11" style="106" customWidth="1"/>
    <col min="11013" max="11013" width="10.85546875" style="106" customWidth="1"/>
    <col min="11014" max="11014" width="39.42578125" style="106" customWidth="1"/>
    <col min="11015" max="11265" width="11.42578125" style="106"/>
    <col min="11266" max="11266" width="22.140625" style="106" customWidth="1"/>
    <col min="11267" max="11267" width="39" style="106" customWidth="1"/>
    <col min="11268" max="11268" width="11" style="106" customWidth="1"/>
    <col min="11269" max="11269" width="10.85546875" style="106" customWidth="1"/>
    <col min="11270" max="11270" width="39.42578125" style="106" customWidth="1"/>
    <col min="11271" max="11521" width="11.42578125" style="106"/>
    <col min="11522" max="11522" width="22.140625" style="106" customWidth="1"/>
    <col min="11523" max="11523" width="39" style="106" customWidth="1"/>
    <col min="11524" max="11524" width="11" style="106" customWidth="1"/>
    <col min="11525" max="11525" width="10.85546875" style="106" customWidth="1"/>
    <col min="11526" max="11526" width="39.42578125" style="106" customWidth="1"/>
    <col min="11527" max="11777" width="11.42578125" style="106"/>
    <col min="11778" max="11778" width="22.140625" style="106" customWidth="1"/>
    <col min="11779" max="11779" width="39" style="106" customWidth="1"/>
    <col min="11780" max="11780" width="11" style="106" customWidth="1"/>
    <col min="11781" max="11781" width="10.85546875" style="106" customWidth="1"/>
    <col min="11782" max="11782" width="39.42578125" style="106" customWidth="1"/>
    <col min="11783" max="12033" width="11.42578125" style="106"/>
    <col min="12034" max="12034" width="22.140625" style="106" customWidth="1"/>
    <col min="12035" max="12035" width="39" style="106" customWidth="1"/>
    <col min="12036" max="12036" width="11" style="106" customWidth="1"/>
    <col min="12037" max="12037" width="10.85546875" style="106" customWidth="1"/>
    <col min="12038" max="12038" width="39.42578125" style="106" customWidth="1"/>
    <col min="12039" max="12289" width="11.42578125" style="106"/>
    <col min="12290" max="12290" width="22.140625" style="106" customWidth="1"/>
    <col min="12291" max="12291" width="39" style="106" customWidth="1"/>
    <col min="12292" max="12292" width="11" style="106" customWidth="1"/>
    <col min="12293" max="12293" width="10.85546875" style="106" customWidth="1"/>
    <col min="12294" max="12294" width="39.42578125" style="106" customWidth="1"/>
    <col min="12295" max="12545" width="11.42578125" style="106"/>
    <col min="12546" max="12546" width="22.140625" style="106" customWidth="1"/>
    <col min="12547" max="12547" width="39" style="106" customWidth="1"/>
    <col min="12548" max="12548" width="11" style="106" customWidth="1"/>
    <col min="12549" max="12549" width="10.85546875" style="106" customWidth="1"/>
    <col min="12550" max="12550" width="39.42578125" style="106" customWidth="1"/>
    <col min="12551" max="12801" width="11.42578125" style="106"/>
    <col min="12802" max="12802" width="22.140625" style="106" customWidth="1"/>
    <col min="12803" max="12803" width="39" style="106" customWidth="1"/>
    <col min="12804" max="12804" width="11" style="106" customWidth="1"/>
    <col min="12805" max="12805" width="10.85546875" style="106" customWidth="1"/>
    <col min="12806" max="12806" width="39.42578125" style="106" customWidth="1"/>
    <col min="12807" max="13057" width="11.42578125" style="106"/>
    <col min="13058" max="13058" width="22.140625" style="106" customWidth="1"/>
    <col min="13059" max="13059" width="39" style="106" customWidth="1"/>
    <col min="13060" max="13060" width="11" style="106" customWidth="1"/>
    <col min="13061" max="13061" width="10.85546875" style="106" customWidth="1"/>
    <col min="13062" max="13062" width="39.42578125" style="106" customWidth="1"/>
    <col min="13063" max="13313" width="11.42578125" style="106"/>
    <col min="13314" max="13314" width="22.140625" style="106" customWidth="1"/>
    <col min="13315" max="13315" width="39" style="106" customWidth="1"/>
    <col min="13316" max="13316" width="11" style="106" customWidth="1"/>
    <col min="13317" max="13317" width="10.85546875" style="106" customWidth="1"/>
    <col min="13318" max="13318" width="39.42578125" style="106" customWidth="1"/>
    <col min="13319" max="13569" width="11.42578125" style="106"/>
    <col min="13570" max="13570" width="22.140625" style="106" customWidth="1"/>
    <col min="13571" max="13571" width="39" style="106" customWidth="1"/>
    <col min="13572" max="13572" width="11" style="106" customWidth="1"/>
    <col min="13573" max="13573" width="10.85546875" style="106" customWidth="1"/>
    <col min="13574" max="13574" width="39.42578125" style="106" customWidth="1"/>
    <col min="13575" max="13825" width="11.42578125" style="106"/>
    <col min="13826" max="13826" width="22.140625" style="106" customWidth="1"/>
    <col min="13827" max="13827" width="39" style="106" customWidth="1"/>
    <col min="13828" max="13828" width="11" style="106" customWidth="1"/>
    <col min="13829" max="13829" width="10.85546875" style="106" customWidth="1"/>
    <col min="13830" max="13830" width="39.42578125" style="106" customWidth="1"/>
    <col min="13831" max="14081" width="11.42578125" style="106"/>
    <col min="14082" max="14082" width="22.140625" style="106" customWidth="1"/>
    <col min="14083" max="14083" width="39" style="106" customWidth="1"/>
    <col min="14084" max="14084" width="11" style="106" customWidth="1"/>
    <col min="14085" max="14085" width="10.85546875" style="106" customWidth="1"/>
    <col min="14086" max="14086" width="39.42578125" style="106" customWidth="1"/>
    <col min="14087" max="14337" width="11.42578125" style="106"/>
    <col min="14338" max="14338" width="22.140625" style="106" customWidth="1"/>
    <col min="14339" max="14339" width="39" style="106" customWidth="1"/>
    <col min="14340" max="14340" width="11" style="106" customWidth="1"/>
    <col min="14341" max="14341" width="10.85546875" style="106" customWidth="1"/>
    <col min="14342" max="14342" width="39.42578125" style="106" customWidth="1"/>
    <col min="14343" max="14593" width="11.42578125" style="106"/>
    <col min="14594" max="14594" width="22.140625" style="106" customWidth="1"/>
    <col min="14595" max="14595" width="39" style="106" customWidth="1"/>
    <col min="14596" max="14596" width="11" style="106" customWidth="1"/>
    <col min="14597" max="14597" width="10.85546875" style="106" customWidth="1"/>
    <col min="14598" max="14598" width="39.42578125" style="106" customWidth="1"/>
    <col min="14599" max="14849" width="11.42578125" style="106"/>
    <col min="14850" max="14850" width="22.140625" style="106" customWidth="1"/>
    <col min="14851" max="14851" width="39" style="106" customWidth="1"/>
    <col min="14852" max="14852" width="11" style="106" customWidth="1"/>
    <col min="14853" max="14853" width="10.85546875" style="106" customWidth="1"/>
    <col min="14854" max="14854" width="39.42578125" style="106" customWidth="1"/>
    <col min="14855" max="15105" width="11.42578125" style="106"/>
    <col min="15106" max="15106" width="22.140625" style="106" customWidth="1"/>
    <col min="15107" max="15107" width="39" style="106" customWidth="1"/>
    <col min="15108" max="15108" width="11" style="106" customWidth="1"/>
    <col min="15109" max="15109" width="10.85546875" style="106" customWidth="1"/>
    <col min="15110" max="15110" width="39.42578125" style="106" customWidth="1"/>
    <col min="15111" max="15361" width="11.42578125" style="106"/>
    <col min="15362" max="15362" width="22.140625" style="106" customWidth="1"/>
    <col min="15363" max="15363" width="39" style="106" customWidth="1"/>
    <col min="15364" max="15364" width="11" style="106" customWidth="1"/>
    <col min="15365" max="15365" width="10.85546875" style="106" customWidth="1"/>
    <col min="15366" max="15366" width="39.42578125" style="106" customWidth="1"/>
    <col min="15367" max="15617" width="11.42578125" style="106"/>
    <col min="15618" max="15618" width="22.140625" style="106" customWidth="1"/>
    <col min="15619" max="15619" width="39" style="106" customWidth="1"/>
    <col min="15620" max="15620" width="11" style="106" customWidth="1"/>
    <col min="15621" max="15621" width="10.85546875" style="106" customWidth="1"/>
    <col min="15622" max="15622" width="39.42578125" style="106" customWidth="1"/>
    <col min="15623" max="15873" width="11.42578125" style="106"/>
    <col min="15874" max="15874" width="22.140625" style="106" customWidth="1"/>
    <col min="15875" max="15875" width="39" style="106" customWidth="1"/>
    <col min="15876" max="15876" width="11" style="106" customWidth="1"/>
    <col min="15877" max="15877" width="10.85546875" style="106" customWidth="1"/>
    <col min="15878" max="15878" width="39.42578125" style="106" customWidth="1"/>
    <col min="15879" max="16129" width="11.42578125" style="106"/>
    <col min="16130" max="16130" width="22.140625" style="106" customWidth="1"/>
    <col min="16131" max="16131" width="39" style="106" customWidth="1"/>
    <col min="16132" max="16132" width="11" style="106" customWidth="1"/>
    <col min="16133" max="16133" width="10.85546875" style="106" customWidth="1"/>
    <col min="16134" max="16134" width="39.42578125" style="106" customWidth="1"/>
    <col min="16135" max="16384" width="11.42578125" style="106"/>
  </cols>
  <sheetData>
    <row r="1" spans="1:7" ht="12.75" thickBot="1" x14ac:dyDescent="0.25">
      <c r="A1" s="265" t="s">
        <v>322</v>
      </c>
      <c r="B1" s="265"/>
      <c r="C1" s="265"/>
      <c r="D1" s="265"/>
      <c r="E1" s="265"/>
      <c r="F1" s="265"/>
      <c r="G1" s="107"/>
    </row>
    <row r="2" spans="1:7" s="108" customFormat="1" thickBot="1" x14ac:dyDescent="0.3">
      <c r="A2" s="96" t="s">
        <v>306</v>
      </c>
      <c r="B2" s="97" t="s">
        <v>307</v>
      </c>
      <c r="C2" s="98" t="str">
        <f>'BILAN '!N4</f>
        <v>31/12/N</v>
      </c>
      <c r="D2" s="98" t="str">
        <f>'BILAN '!O4</f>
        <v>31/12/N-1</v>
      </c>
      <c r="E2" s="98" t="str">
        <f>'BILAN '!P4</f>
        <v>31/12/N-2</v>
      </c>
      <c r="F2" s="97" t="s">
        <v>308</v>
      </c>
    </row>
    <row r="3" spans="1:7" ht="23.25" customHeight="1" thickBot="1" x14ac:dyDescent="0.25">
      <c r="A3" s="109" t="s">
        <v>323</v>
      </c>
      <c r="B3" s="109" t="s">
        <v>324</v>
      </c>
      <c r="C3" s="110" t="e">
        <f>+('BILAN '!H24*360)/C.RESULTAT!I16</f>
        <v>#DIV/0!</v>
      </c>
      <c r="D3" s="110" t="e">
        <f>+('BILAN '!I24*360)/C.RESULTAT!J16</f>
        <v>#DIV/0!</v>
      </c>
      <c r="E3" s="110" t="e">
        <f>+('BILAN '!J24*360)/C.RESULTAT!K16</f>
        <v>#DIV/0!</v>
      </c>
      <c r="F3" s="111" t="e">
        <f>IF(C3&lt;=30,"Risque faible car court délai d'écoulement des produits en stock","Risque élevé car long délai d'écoulement des produits en stock")</f>
        <v>#DIV/0!</v>
      </c>
    </row>
    <row r="4" spans="1:7" ht="23.25" thickBot="1" x14ac:dyDescent="0.25">
      <c r="A4" s="109" t="s">
        <v>325</v>
      </c>
      <c r="B4" s="109" t="s">
        <v>326</v>
      </c>
      <c r="C4" s="110" t="e">
        <f>+((('BILAN '!H27-'BILAN '!N24)/C.RESULTAT!I16)*360)</f>
        <v>#DIV/0!</v>
      </c>
      <c r="D4" s="110" t="e">
        <f>+((('BILAN '!I27-'BILAN '!O24)/C.RESULTAT!J16)*360)</f>
        <v>#DIV/0!</v>
      </c>
      <c r="E4" s="110" t="e">
        <f>+((('BILAN '!J27-'BILAN '!P24)/C.RESULTAT!K16)*360)</f>
        <v>#DIV/0!</v>
      </c>
      <c r="F4" s="111" t="e">
        <f>IF(C4&lt;=30,"Risque faible car court délai d'encaissement des créances clients est mois d'un mois","Risque élevé car le long délai peut indiquer que certains clients sont en difficultés de paiement et/ou montre des difficultées de trésorerie causes d'un mauvais recouvrement.")</f>
        <v>#DIV/0!</v>
      </c>
    </row>
    <row r="5" spans="1:7" ht="34.5" thickBot="1" x14ac:dyDescent="0.25">
      <c r="A5" s="109" t="s">
        <v>327</v>
      </c>
      <c r="B5" s="109" t="s">
        <v>328</v>
      </c>
      <c r="C5" s="110" t="e">
        <f>(('BILAN '!N25-'BILAN '!H26)/-(C.RESULTAT!I10+C.RESULTAT!I22+C.RESULTAT!I24))*360</f>
        <v>#DIV/0!</v>
      </c>
      <c r="D5" s="110" t="e">
        <f>(('BILAN '!O25-'BILAN '!I26)/-(C.RESULTAT!J10+C.RESULTAT!J22+C.RESULTAT!J24))*360</f>
        <v>#DIV/0!</v>
      </c>
      <c r="E5" s="110" t="e">
        <f>(('BILAN '!P25-'BILAN '!J26)/-(C.RESULTAT!K10+C.RESULTAT!K22+C.RESULTAT!K24))*360</f>
        <v>#DIV/0!</v>
      </c>
      <c r="F5" s="111" t="e">
        <f>IF(C5&lt;=30,"Risque faible, cela peut etre une source de financement et un indicateur de bonne gestion de sa trésorerie.","Risque élevé, cela peut mettre en lumièere un manque de trésorerie pour regler ses fournisseurs.")</f>
        <v>#DIV/0!</v>
      </c>
    </row>
    <row r="6" spans="1:7" ht="23.25" thickBot="1" x14ac:dyDescent="0.25">
      <c r="A6" s="100" t="s">
        <v>329</v>
      </c>
      <c r="B6" s="101" t="s">
        <v>330</v>
      </c>
      <c r="C6" s="112" t="e">
        <f>('BILAN '!N22-'BILAN '!H22)/('BILAN '!H29-'BILAN '!N29)</f>
        <v>#DIV/0!</v>
      </c>
      <c r="D6" s="112" t="e">
        <f>('BILAN '!O22-'BILAN '!I22)/('BILAN '!I29-'BILAN '!O29)</f>
        <v>#DIV/0!</v>
      </c>
      <c r="E6" s="112" t="e">
        <f>('BILAN '!P22-'BILAN '!J22)/('BILAN '!J29-'BILAN '!P29)</f>
        <v>#DIV/0!</v>
      </c>
      <c r="F6" s="111"/>
    </row>
    <row r="8" spans="1:7" x14ac:dyDescent="0.2">
      <c r="G8" s="113"/>
    </row>
  </sheetData>
  <mergeCells count="1">
    <mergeCell ref="A1:F1"/>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P59"/>
  <sheetViews>
    <sheetView workbookViewId="0">
      <selection activeCell="H45" sqref="H45"/>
    </sheetView>
  </sheetViews>
  <sheetFormatPr baseColWidth="10" defaultRowHeight="12" x14ac:dyDescent="0.2"/>
  <cols>
    <col min="1" max="1" width="2.5703125" style="106" customWidth="1"/>
    <col min="2" max="2" width="47.42578125" style="136" customWidth="1"/>
    <col min="3" max="3" width="14.28515625" style="106" bestFit="1" customWidth="1"/>
    <col min="4" max="4" width="18.7109375" style="106" customWidth="1"/>
    <col min="5" max="5" width="18" style="106" customWidth="1"/>
    <col min="6" max="6" width="11.28515625" style="106" customWidth="1"/>
    <col min="7" max="7" width="15.85546875" style="106" customWidth="1"/>
    <col min="8" max="8" width="16.140625" style="106" customWidth="1"/>
    <col min="9" max="9" width="11.42578125" style="106"/>
    <col min="10" max="10" width="14.140625" style="106" customWidth="1"/>
    <col min="11" max="257" width="11.42578125" style="106"/>
    <col min="258" max="258" width="49" style="106" customWidth="1"/>
    <col min="259" max="260" width="18.28515625" style="106" customWidth="1"/>
    <col min="261" max="261" width="12.5703125" style="106" customWidth="1"/>
    <col min="262" max="513" width="11.42578125" style="106"/>
    <col min="514" max="514" width="49" style="106" customWidth="1"/>
    <col min="515" max="516" width="18.28515625" style="106" customWidth="1"/>
    <col min="517" max="517" width="12.5703125" style="106" customWidth="1"/>
    <col min="518" max="769" width="11.42578125" style="106"/>
    <col min="770" max="770" width="49" style="106" customWidth="1"/>
    <col min="771" max="772" width="18.28515625" style="106" customWidth="1"/>
    <col min="773" max="773" width="12.5703125" style="106" customWidth="1"/>
    <col min="774" max="1025" width="11.42578125" style="106"/>
    <col min="1026" max="1026" width="49" style="106" customWidth="1"/>
    <col min="1027" max="1028" width="18.28515625" style="106" customWidth="1"/>
    <col min="1029" max="1029" width="12.5703125" style="106" customWidth="1"/>
    <col min="1030" max="1281" width="11.42578125" style="106"/>
    <col min="1282" max="1282" width="49" style="106" customWidth="1"/>
    <col min="1283" max="1284" width="18.28515625" style="106" customWidth="1"/>
    <col min="1285" max="1285" width="12.5703125" style="106" customWidth="1"/>
    <col min="1286" max="1537" width="11.42578125" style="106"/>
    <col min="1538" max="1538" width="49" style="106" customWidth="1"/>
    <col min="1539" max="1540" width="18.28515625" style="106" customWidth="1"/>
    <col min="1541" max="1541" width="12.5703125" style="106" customWidth="1"/>
    <col min="1542" max="1793" width="11.42578125" style="106"/>
    <col min="1794" max="1794" width="49" style="106" customWidth="1"/>
    <col min="1795" max="1796" width="18.28515625" style="106" customWidth="1"/>
    <col min="1797" max="1797" width="12.5703125" style="106" customWidth="1"/>
    <col min="1798" max="2049" width="11.42578125" style="106"/>
    <col min="2050" max="2050" width="49" style="106" customWidth="1"/>
    <col min="2051" max="2052" width="18.28515625" style="106" customWidth="1"/>
    <col min="2053" max="2053" width="12.5703125" style="106" customWidth="1"/>
    <col min="2054" max="2305" width="11.42578125" style="106"/>
    <col min="2306" max="2306" width="49" style="106" customWidth="1"/>
    <col min="2307" max="2308" width="18.28515625" style="106" customWidth="1"/>
    <col min="2309" max="2309" width="12.5703125" style="106" customWidth="1"/>
    <col min="2310" max="2561" width="11.42578125" style="106"/>
    <col min="2562" max="2562" width="49" style="106" customWidth="1"/>
    <col min="2563" max="2564" width="18.28515625" style="106" customWidth="1"/>
    <col min="2565" max="2565" width="12.5703125" style="106" customWidth="1"/>
    <col min="2566" max="2817" width="11.42578125" style="106"/>
    <col min="2818" max="2818" width="49" style="106" customWidth="1"/>
    <col min="2819" max="2820" width="18.28515625" style="106" customWidth="1"/>
    <col min="2821" max="2821" width="12.5703125" style="106" customWidth="1"/>
    <col min="2822" max="3073" width="11.42578125" style="106"/>
    <col min="3074" max="3074" width="49" style="106" customWidth="1"/>
    <col min="3075" max="3076" width="18.28515625" style="106" customWidth="1"/>
    <col min="3077" max="3077" width="12.5703125" style="106" customWidth="1"/>
    <col min="3078" max="3329" width="11.42578125" style="106"/>
    <col min="3330" max="3330" width="49" style="106" customWidth="1"/>
    <col min="3331" max="3332" width="18.28515625" style="106" customWidth="1"/>
    <col min="3333" max="3333" width="12.5703125" style="106" customWidth="1"/>
    <col min="3334" max="3585" width="11.42578125" style="106"/>
    <col min="3586" max="3586" width="49" style="106" customWidth="1"/>
    <col min="3587" max="3588" width="18.28515625" style="106" customWidth="1"/>
    <col min="3589" max="3589" width="12.5703125" style="106" customWidth="1"/>
    <col min="3590" max="3841" width="11.42578125" style="106"/>
    <col min="3842" max="3842" width="49" style="106" customWidth="1"/>
    <col min="3843" max="3844" width="18.28515625" style="106" customWidth="1"/>
    <col min="3845" max="3845" width="12.5703125" style="106" customWidth="1"/>
    <col min="3846" max="4097" width="11.42578125" style="106"/>
    <col min="4098" max="4098" width="49" style="106" customWidth="1"/>
    <col min="4099" max="4100" width="18.28515625" style="106" customWidth="1"/>
    <col min="4101" max="4101" width="12.5703125" style="106" customWidth="1"/>
    <col min="4102" max="4353" width="11.42578125" style="106"/>
    <col min="4354" max="4354" width="49" style="106" customWidth="1"/>
    <col min="4355" max="4356" width="18.28515625" style="106" customWidth="1"/>
    <col min="4357" max="4357" width="12.5703125" style="106" customWidth="1"/>
    <col min="4358" max="4609" width="11.42578125" style="106"/>
    <col min="4610" max="4610" width="49" style="106" customWidth="1"/>
    <col min="4611" max="4612" width="18.28515625" style="106" customWidth="1"/>
    <col min="4613" max="4613" width="12.5703125" style="106" customWidth="1"/>
    <col min="4614" max="4865" width="11.42578125" style="106"/>
    <col min="4866" max="4866" width="49" style="106" customWidth="1"/>
    <col min="4867" max="4868" width="18.28515625" style="106" customWidth="1"/>
    <col min="4869" max="4869" width="12.5703125" style="106" customWidth="1"/>
    <col min="4870" max="5121" width="11.42578125" style="106"/>
    <col min="5122" max="5122" width="49" style="106" customWidth="1"/>
    <col min="5123" max="5124" width="18.28515625" style="106" customWidth="1"/>
    <col min="5125" max="5125" width="12.5703125" style="106" customWidth="1"/>
    <col min="5126" max="5377" width="11.42578125" style="106"/>
    <col min="5378" max="5378" width="49" style="106" customWidth="1"/>
    <col min="5379" max="5380" width="18.28515625" style="106" customWidth="1"/>
    <col min="5381" max="5381" width="12.5703125" style="106" customWidth="1"/>
    <col min="5382" max="5633" width="11.42578125" style="106"/>
    <col min="5634" max="5634" width="49" style="106" customWidth="1"/>
    <col min="5635" max="5636" width="18.28515625" style="106" customWidth="1"/>
    <col min="5637" max="5637" width="12.5703125" style="106" customWidth="1"/>
    <col min="5638" max="5889" width="11.42578125" style="106"/>
    <col min="5890" max="5890" width="49" style="106" customWidth="1"/>
    <col min="5891" max="5892" width="18.28515625" style="106" customWidth="1"/>
    <col min="5893" max="5893" width="12.5703125" style="106" customWidth="1"/>
    <col min="5894" max="6145" width="11.42578125" style="106"/>
    <col min="6146" max="6146" width="49" style="106" customWidth="1"/>
    <col min="6147" max="6148" width="18.28515625" style="106" customWidth="1"/>
    <col min="6149" max="6149" width="12.5703125" style="106" customWidth="1"/>
    <col min="6150" max="6401" width="11.42578125" style="106"/>
    <col min="6402" max="6402" width="49" style="106" customWidth="1"/>
    <col min="6403" max="6404" width="18.28515625" style="106" customWidth="1"/>
    <col min="6405" max="6405" width="12.5703125" style="106" customWidth="1"/>
    <col min="6406" max="6657" width="11.42578125" style="106"/>
    <col min="6658" max="6658" width="49" style="106" customWidth="1"/>
    <col min="6659" max="6660" width="18.28515625" style="106" customWidth="1"/>
    <col min="6661" max="6661" width="12.5703125" style="106" customWidth="1"/>
    <col min="6662" max="6913" width="11.42578125" style="106"/>
    <col min="6914" max="6914" width="49" style="106" customWidth="1"/>
    <col min="6915" max="6916" width="18.28515625" style="106" customWidth="1"/>
    <col min="6917" max="6917" width="12.5703125" style="106" customWidth="1"/>
    <col min="6918" max="7169" width="11.42578125" style="106"/>
    <col min="7170" max="7170" width="49" style="106" customWidth="1"/>
    <col min="7171" max="7172" width="18.28515625" style="106" customWidth="1"/>
    <col min="7173" max="7173" width="12.5703125" style="106" customWidth="1"/>
    <col min="7174" max="7425" width="11.42578125" style="106"/>
    <col min="7426" max="7426" width="49" style="106" customWidth="1"/>
    <col min="7427" max="7428" width="18.28515625" style="106" customWidth="1"/>
    <col min="7429" max="7429" width="12.5703125" style="106" customWidth="1"/>
    <col min="7430" max="7681" width="11.42578125" style="106"/>
    <col min="7682" max="7682" width="49" style="106" customWidth="1"/>
    <col min="7683" max="7684" width="18.28515625" style="106" customWidth="1"/>
    <col min="7685" max="7685" width="12.5703125" style="106" customWidth="1"/>
    <col min="7686" max="7937" width="11.42578125" style="106"/>
    <col min="7938" max="7938" width="49" style="106" customWidth="1"/>
    <col min="7939" max="7940" width="18.28515625" style="106" customWidth="1"/>
    <col min="7941" max="7941" width="12.5703125" style="106" customWidth="1"/>
    <col min="7942" max="8193" width="11.42578125" style="106"/>
    <col min="8194" max="8194" width="49" style="106" customWidth="1"/>
    <col min="8195" max="8196" width="18.28515625" style="106" customWidth="1"/>
    <col min="8197" max="8197" width="12.5703125" style="106" customWidth="1"/>
    <col min="8198" max="8449" width="11.42578125" style="106"/>
    <col min="8450" max="8450" width="49" style="106" customWidth="1"/>
    <col min="8451" max="8452" width="18.28515625" style="106" customWidth="1"/>
    <col min="8453" max="8453" width="12.5703125" style="106" customWidth="1"/>
    <col min="8454" max="8705" width="11.42578125" style="106"/>
    <col min="8706" max="8706" width="49" style="106" customWidth="1"/>
    <col min="8707" max="8708" width="18.28515625" style="106" customWidth="1"/>
    <col min="8709" max="8709" width="12.5703125" style="106" customWidth="1"/>
    <col min="8710" max="8961" width="11.42578125" style="106"/>
    <col min="8962" max="8962" width="49" style="106" customWidth="1"/>
    <col min="8963" max="8964" width="18.28515625" style="106" customWidth="1"/>
    <col min="8965" max="8965" width="12.5703125" style="106" customWidth="1"/>
    <col min="8966" max="9217" width="11.42578125" style="106"/>
    <col min="9218" max="9218" width="49" style="106" customWidth="1"/>
    <col min="9219" max="9220" width="18.28515625" style="106" customWidth="1"/>
    <col min="9221" max="9221" width="12.5703125" style="106" customWidth="1"/>
    <col min="9222" max="9473" width="11.42578125" style="106"/>
    <col min="9474" max="9474" width="49" style="106" customWidth="1"/>
    <col min="9475" max="9476" width="18.28515625" style="106" customWidth="1"/>
    <col min="9477" max="9477" width="12.5703125" style="106" customWidth="1"/>
    <col min="9478" max="9729" width="11.42578125" style="106"/>
    <col min="9730" max="9730" width="49" style="106" customWidth="1"/>
    <col min="9731" max="9732" width="18.28515625" style="106" customWidth="1"/>
    <col min="9733" max="9733" width="12.5703125" style="106" customWidth="1"/>
    <col min="9734" max="9985" width="11.42578125" style="106"/>
    <col min="9986" max="9986" width="49" style="106" customWidth="1"/>
    <col min="9987" max="9988" width="18.28515625" style="106" customWidth="1"/>
    <col min="9989" max="9989" width="12.5703125" style="106" customWidth="1"/>
    <col min="9990" max="10241" width="11.42578125" style="106"/>
    <col min="10242" max="10242" width="49" style="106" customWidth="1"/>
    <col min="10243" max="10244" width="18.28515625" style="106" customWidth="1"/>
    <col min="10245" max="10245" width="12.5703125" style="106" customWidth="1"/>
    <col min="10246" max="10497" width="11.42578125" style="106"/>
    <col min="10498" max="10498" width="49" style="106" customWidth="1"/>
    <col min="10499" max="10500" width="18.28515625" style="106" customWidth="1"/>
    <col min="10501" max="10501" width="12.5703125" style="106" customWidth="1"/>
    <col min="10502" max="10753" width="11.42578125" style="106"/>
    <col min="10754" max="10754" width="49" style="106" customWidth="1"/>
    <col min="10755" max="10756" width="18.28515625" style="106" customWidth="1"/>
    <col min="10757" max="10757" width="12.5703125" style="106" customWidth="1"/>
    <col min="10758" max="11009" width="11.42578125" style="106"/>
    <col min="11010" max="11010" width="49" style="106" customWidth="1"/>
    <col min="11011" max="11012" width="18.28515625" style="106" customWidth="1"/>
    <col min="11013" max="11013" width="12.5703125" style="106" customWidth="1"/>
    <col min="11014" max="11265" width="11.42578125" style="106"/>
    <col min="11266" max="11266" width="49" style="106" customWidth="1"/>
    <col min="11267" max="11268" width="18.28515625" style="106" customWidth="1"/>
    <col min="11269" max="11269" width="12.5703125" style="106" customWidth="1"/>
    <col min="11270" max="11521" width="11.42578125" style="106"/>
    <col min="11522" max="11522" width="49" style="106" customWidth="1"/>
    <col min="11523" max="11524" width="18.28515625" style="106" customWidth="1"/>
    <col min="11525" max="11525" width="12.5703125" style="106" customWidth="1"/>
    <col min="11526" max="11777" width="11.42578125" style="106"/>
    <col min="11778" max="11778" width="49" style="106" customWidth="1"/>
    <col min="11779" max="11780" width="18.28515625" style="106" customWidth="1"/>
    <col min="11781" max="11781" width="12.5703125" style="106" customWidth="1"/>
    <col min="11782" max="12033" width="11.42578125" style="106"/>
    <col min="12034" max="12034" width="49" style="106" customWidth="1"/>
    <col min="12035" max="12036" width="18.28515625" style="106" customWidth="1"/>
    <col min="12037" max="12037" width="12.5703125" style="106" customWidth="1"/>
    <col min="12038" max="12289" width="11.42578125" style="106"/>
    <col min="12290" max="12290" width="49" style="106" customWidth="1"/>
    <col min="12291" max="12292" width="18.28515625" style="106" customWidth="1"/>
    <col min="12293" max="12293" width="12.5703125" style="106" customWidth="1"/>
    <col min="12294" max="12545" width="11.42578125" style="106"/>
    <col min="12546" max="12546" width="49" style="106" customWidth="1"/>
    <col min="12547" max="12548" width="18.28515625" style="106" customWidth="1"/>
    <col min="12549" max="12549" width="12.5703125" style="106" customWidth="1"/>
    <col min="12550" max="12801" width="11.42578125" style="106"/>
    <col min="12802" max="12802" width="49" style="106" customWidth="1"/>
    <col min="12803" max="12804" width="18.28515625" style="106" customWidth="1"/>
    <col min="12805" max="12805" width="12.5703125" style="106" customWidth="1"/>
    <col min="12806" max="13057" width="11.42578125" style="106"/>
    <col min="13058" max="13058" width="49" style="106" customWidth="1"/>
    <col min="13059" max="13060" width="18.28515625" style="106" customWidth="1"/>
    <col min="13061" max="13061" width="12.5703125" style="106" customWidth="1"/>
    <col min="13062" max="13313" width="11.42578125" style="106"/>
    <col min="13314" max="13314" width="49" style="106" customWidth="1"/>
    <col min="13315" max="13316" width="18.28515625" style="106" customWidth="1"/>
    <col min="13317" max="13317" width="12.5703125" style="106" customWidth="1"/>
    <col min="13318" max="13569" width="11.42578125" style="106"/>
    <col min="13570" max="13570" width="49" style="106" customWidth="1"/>
    <col min="13571" max="13572" width="18.28515625" style="106" customWidth="1"/>
    <col min="13573" max="13573" width="12.5703125" style="106" customWidth="1"/>
    <col min="13574" max="13825" width="11.42578125" style="106"/>
    <col min="13826" max="13826" width="49" style="106" customWidth="1"/>
    <col min="13827" max="13828" width="18.28515625" style="106" customWidth="1"/>
    <col min="13829" max="13829" width="12.5703125" style="106" customWidth="1"/>
    <col min="13830" max="14081" width="11.42578125" style="106"/>
    <col min="14082" max="14082" width="49" style="106" customWidth="1"/>
    <col min="14083" max="14084" width="18.28515625" style="106" customWidth="1"/>
    <col min="14085" max="14085" width="12.5703125" style="106" customWidth="1"/>
    <col min="14086" max="14337" width="11.42578125" style="106"/>
    <col min="14338" max="14338" width="49" style="106" customWidth="1"/>
    <col min="14339" max="14340" width="18.28515625" style="106" customWidth="1"/>
    <col min="14341" max="14341" width="12.5703125" style="106" customWidth="1"/>
    <col min="14342" max="14593" width="11.42578125" style="106"/>
    <col min="14594" max="14594" width="49" style="106" customWidth="1"/>
    <col min="14595" max="14596" width="18.28515625" style="106" customWidth="1"/>
    <col min="14597" max="14597" width="12.5703125" style="106" customWidth="1"/>
    <col min="14598" max="14849" width="11.42578125" style="106"/>
    <col min="14850" max="14850" width="49" style="106" customWidth="1"/>
    <col min="14851" max="14852" width="18.28515625" style="106" customWidth="1"/>
    <col min="14853" max="14853" width="12.5703125" style="106" customWidth="1"/>
    <col min="14854" max="15105" width="11.42578125" style="106"/>
    <col min="15106" max="15106" width="49" style="106" customWidth="1"/>
    <col min="15107" max="15108" width="18.28515625" style="106" customWidth="1"/>
    <col min="15109" max="15109" width="12.5703125" style="106" customWidth="1"/>
    <col min="15110" max="15361" width="11.42578125" style="106"/>
    <col min="15362" max="15362" width="49" style="106" customWidth="1"/>
    <col min="15363" max="15364" width="18.28515625" style="106" customWidth="1"/>
    <col min="15365" max="15365" width="12.5703125" style="106" customWidth="1"/>
    <col min="15366" max="15617" width="11.42578125" style="106"/>
    <col min="15618" max="15618" width="49" style="106" customWidth="1"/>
    <col min="15619" max="15620" width="18.28515625" style="106" customWidth="1"/>
    <col min="15621" max="15621" width="12.5703125" style="106" customWidth="1"/>
    <col min="15622" max="15873" width="11.42578125" style="106"/>
    <col min="15874" max="15874" width="49" style="106" customWidth="1"/>
    <col min="15875" max="15876" width="18.28515625" style="106" customWidth="1"/>
    <col min="15877" max="15877" width="12.5703125" style="106" customWidth="1"/>
    <col min="15878" max="16129" width="11.42578125" style="106"/>
    <col min="16130" max="16130" width="49" style="106" customWidth="1"/>
    <col min="16131" max="16132" width="18.28515625" style="106" customWidth="1"/>
    <col min="16133" max="16133" width="12.5703125" style="106" customWidth="1"/>
    <col min="16134" max="16384" width="11.42578125" style="106"/>
  </cols>
  <sheetData>
    <row r="1" spans="2:13" ht="18.75" customHeight="1" x14ac:dyDescent="0.2">
      <c r="B1" s="114" t="s">
        <v>331</v>
      </c>
      <c r="C1" s="115" t="str">
        <f>'BILAN '!N4</f>
        <v>31/12/N</v>
      </c>
      <c r="D1" s="115" t="str">
        <f>'BILAN '!O4</f>
        <v>31/12/N-1</v>
      </c>
      <c r="E1" s="115" t="str">
        <f>'BILAN '!P4</f>
        <v>31/12/N-2</v>
      </c>
      <c r="F1" s="116" t="s">
        <v>332</v>
      </c>
      <c r="G1" s="116" t="s">
        <v>332</v>
      </c>
    </row>
    <row r="2" spans="2:13" s="120" customFormat="1" ht="29.25" customHeight="1" x14ac:dyDescent="0.25">
      <c r="B2" s="117" t="s">
        <v>333</v>
      </c>
      <c r="C2" s="118">
        <f>+'BILAN '!H35</f>
        <v>0</v>
      </c>
      <c r="D2" s="118">
        <f>+'BILAN '!I35</f>
        <v>0</v>
      </c>
      <c r="E2" s="118">
        <f>+'BILAN '!J35</f>
        <v>0</v>
      </c>
      <c r="F2" s="119" t="e">
        <f t="shared" ref="F2:G13" si="0">+(C2-D2)/D2</f>
        <v>#DIV/0!</v>
      </c>
      <c r="G2" s="119" t="e">
        <f t="shared" si="0"/>
        <v>#DIV/0!</v>
      </c>
      <c r="J2" s="121"/>
      <c r="L2" s="122"/>
      <c r="M2" s="123"/>
    </row>
    <row r="3" spans="2:13" s="120" customFormat="1" ht="14.25" customHeight="1" x14ac:dyDescent="0.25">
      <c r="B3" s="117" t="s">
        <v>334</v>
      </c>
      <c r="C3" s="118">
        <f>+'BILAN '!N17</f>
        <v>0</v>
      </c>
      <c r="D3" s="118">
        <f>+'BILAN '!O17</f>
        <v>0</v>
      </c>
      <c r="E3" s="118">
        <f>+'BILAN '!P17</f>
        <v>0</v>
      </c>
      <c r="F3" s="119" t="e">
        <f t="shared" si="0"/>
        <v>#DIV/0!</v>
      </c>
      <c r="G3" s="119" t="e">
        <f t="shared" si="0"/>
        <v>#DIV/0!</v>
      </c>
      <c r="J3" s="121"/>
      <c r="L3" s="122"/>
      <c r="M3" s="123"/>
    </row>
    <row r="4" spans="2:13" s="120" customFormat="1" ht="23.25" customHeight="1" x14ac:dyDescent="0.25">
      <c r="B4" s="117" t="s">
        <v>335</v>
      </c>
      <c r="C4" s="118">
        <f>+'BILAN '!N22-'BILAN '!H22</f>
        <v>0</v>
      </c>
      <c r="D4" s="118">
        <f>+'BILAN '!O22-'BILAN '!I22</f>
        <v>0</v>
      </c>
      <c r="E4" s="118">
        <f>+'BILAN '!P22-'BILAN '!J22</f>
        <v>0</v>
      </c>
      <c r="F4" s="119" t="e">
        <f t="shared" si="0"/>
        <v>#DIV/0!</v>
      </c>
      <c r="G4" s="119" t="e">
        <f t="shared" si="0"/>
        <v>#DIV/0!</v>
      </c>
      <c r="J4" s="121"/>
      <c r="L4" s="122"/>
      <c r="M4" s="123"/>
    </row>
    <row r="5" spans="2:13" s="120" customFormat="1" ht="19.5" customHeight="1" x14ac:dyDescent="0.25">
      <c r="B5" s="117" t="s">
        <v>336</v>
      </c>
      <c r="C5" s="118">
        <f>+'BILAN '!N21</f>
        <v>0</v>
      </c>
      <c r="D5" s="118">
        <f>+'BILAN '!O21</f>
        <v>0</v>
      </c>
      <c r="E5" s="118">
        <f>+'BILAN '!P21</f>
        <v>0</v>
      </c>
      <c r="F5" s="119" t="e">
        <f t="shared" si="0"/>
        <v>#DIV/0!</v>
      </c>
      <c r="G5" s="119" t="e">
        <f t="shared" si="0"/>
        <v>#DIV/0!</v>
      </c>
      <c r="H5" s="121"/>
      <c r="J5" s="121"/>
      <c r="L5" s="122"/>
      <c r="M5" s="123"/>
    </row>
    <row r="6" spans="2:13" s="120" customFormat="1" ht="18.75" customHeight="1" x14ac:dyDescent="0.25">
      <c r="B6" s="117" t="s">
        <v>337</v>
      </c>
      <c r="C6" s="124" t="e">
        <f>+'BILAN '!N17/'BILAN '!N21</f>
        <v>#DIV/0!</v>
      </c>
      <c r="D6" s="124" t="e">
        <f>+'BILAN '!O17/'BILAN '!O21</f>
        <v>#DIV/0!</v>
      </c>
      <c r="E6" s="124" t="e">
        <f>+'BILAN '!P17/'BILAN '!P21</f>
        <v>#DIV/0!</v>
      </c>
      <c r="F6" s="119" t="e">
        <f t="shared" si="0"/>
        <v>#DIV/0!</v>
      </c>
      <c r="G6" s="119" t="e">
        <f t="shared" si="0"/>
        <v>#DIV/0!</v>
      </c>
      <c r="H6" s="121"/>
      <c r="J6" s="121"/>
      <c r="L6" s="122"/>
      <c r="M6" s="123"/>
    </row>
    <row r="7" spans="2:13" s="120" customFormat="1" ht="19.5" customHeight="1" x14ac:dyDescent="0.25">
      <c r="B7" s="117" t="s">
        <v>338</v>
      </c>
      <c r="C7" s="118">
        <f>C.RESULTAT!I16</f>
        <v>0</v>
      </c>
      <c r="D7" s="118">
        <f>C.RESULTAT!J16</f>
        <v>0</v>
      </c>
      <c r="E7" s="118">
        <f>C.RESULTAT!K16</f>
        <v>0</v>
      </c>
      <c r="F7" s="119" t="e">
        <f t="shared" si="0"/>
        <v>#DIV/0!</v>
      </c>
      <c r="G7" s="119" t="e">
        <f t="shared" si="0"/>
        <v>#DIV/0!</v>
      </c>
      <c r="H7" s="121"/>
      <c r="J7" s="121"/>
      <c r="L7" s="122"/>
      <c r="M7" s="123"/>
    </row>
    <row r="8" spans="2:13" s="120" customFormat="1" ht="25.5" customHeight="1" x14ac:dyDescent="0.25">
      <c r="B8" s="117" t="s">
        <v>339</v>
      </c>
      <c r="C8" s="118">
        <f>C.RESULTAT!I32</f>
        <v>0</v>
      </c>
      <c r="D8" s="118">
        <f>C.RESULTAT!J32</f>
        <v>0</v>
      </c>
      <c r="E8" s="118">
        <f>C.RESULTAT!K32</f>
        <v>0</v>
      </c>
      <c r="F8" s="119" t="e">
        <f>+(C8-D8)/D8</f>
        <v>#DIV/0!</v>
      </c>
      <c r="G8" s="119" t="e">
        <f t="shared" si="0"/>
        <v>#DIV/0!</v>
      </c>
      <c r="H8" s="121"/>
      <c r="J8" s="121"/>
      <c r="L8" s="122"/>
      <c r="M8" s="123"/>
    </row>
    <row r="9" spans="2:13" s="120" customFormat="1" ht="19.5" customHeight="1" x14ac:dyDescent="0.25">
      <c r="B9" s="117" t="s">
        <v>340</v>
      </c>
      <c r="C9" s="118">
        <f>C.RESULTAT!I35</f>
        <v>0</v>
      </c>
      <c r="D9" s="118">
        <f>C.RESULTAT!J35</f>
        <v>0</v>
      </c>
      <c r="E9" s="118">
        <f>C.RESULTAT!K35</f>
        <v>0</v>
      </c>
      <c r="F9" s="119" t="e">
        <f t="shared" si="0"/>
        <v>#DIV/0!</v>
      </c>
      <c r="G9" s="119" t="e">
        <f t="shared" si="0"/>
        <v>#DIV/0!</v>
      </c>
      <c r="H9" s="121"/>
      <c r="J9" s="121"/>
      <c r="L9" s="122"/>
      <c r="M9" s="123"/>
    </row>
    <row r="10" spans="2:13" s="120" customFormat="1" ht="24" customHeight="1" x14ac:dyDescent="0.25">
      <c r="B10" s="117" t="s">
        <v>341</v>
      </c>
      <c r="C10" s="118">
        <f>+(C.RESULTAT!I50+C.RESULTAT!I34-C.RESULTAT!I33+C.RESULTAT!I45-C.RESULTAT!I43)</f>
        <v>0</v>
      </c>
      <c r="D10" s="118">
        <f>+(C.RESULTAT!J50+C.RESULTAT!J34-C.RESULTAT!J33+C.RESULTAT!J45-C.RESULTAT!J43)</f>
        <v>0</v>
      </c>
      <c r="E10" s="118">
        <f>+(C.RESULTAT!K50+C.RESULTAT!K34-C.RESULTAT!K33+C.RESULTAT!K45-C.RESULTAT!K43)</f>
        <v>0</v>
      </c>
      <c r="F10" s="119" t="e">
        <f t="shared" si="0"/>
        <v>#DIV/0!</v>
      </c>
      <c r="G10" s="119" t="e">
        <f t="shared" si="0"/>
        <v>#DIV/0!</v>
      </c>
      <c r="H10" s="121"/>
      <c r="J10" s="121"/>
      <c r="L10" s="122"/>
      <c r="M10" s="123"/>
    </row>
    <row r="11" spans="2:13" s="120" customFormat="1" ht="15" customHeight="1" x14ac:dyDescent="0.25">
      <c r="B11" s="117" t="s">
        <v>342</v>
      </c>
      <c r="C11" s="118">
        <f>C.RESULTAT!I50</f>
        <v>0</v>
      </c>
      <c r="D11" s="118">
        <f>C.RESULTAT!J50</f>
        <v>0</v>
      </c>
      <c r="E11" s="118">
        <f>C.RESULTAT!K50</f>
        <v>0</v>
      </c>
      <c r="F11" s="119" t="e">
        <f t="shared" si="0"/>
        <v>#DIV/0!</v>
      </c>
      <c r="G11" s="119" t="e">
        <f t="shared" si="0"/>
        <v>#DIV/0!</v>
      </c>
      <c r="H11" s="121"/>
      <c r="J11" s="121"/>
      <c r="L11" s="122"/>
      <c r="M11" s="123"/>
    </row>
    <row r="12" spans="2:13" s="120" customFormat="1" ht="27" customHeight="1" x14ac:dyDescent="0.25">
      <c r="B12" s="117" t="s">
        <v>343</v>
      </c>
      <c r="C12" s="125" t="e">
        <f>'BILAN '!N21/C.RESULTAT!I35</f>
        <v>#DIV/0!</v>
      </c>
      <c r="D12" s="125" t="e">
        <f>'BILAN '!O21/C.RESULTAT!J35</f>
        <v>#DIV/0!</v>
      </c>
      <c r="E12" s="125" t="e">
        <f>'BILAN '!P21/C.RESULTAT!K35</f>
        <v>#DIV/0!</v>
      </c>
      <c r="F12" s="119" t="e">
        <f t="shared" si="0"/>
        <v>#DIV/0!</v>
      </c>
      <c r="G12" s="119" t="e">
        <f t="shared" si="0"/>
        <v>#DIV/0!</v>
      </c>
      <c r="H12" s="121"/>
      <c r="J12" s="121"/>
      <c r="L12" s="122"/>
      <c r="M12" s="123"/>
    </row>
    <row r="13" spans="2:13" s="120" customFormat="1" ht="31.5" customHeight="1" x14ac:dyDescent="0.25">
      <c r="B13" s="117" t="s">
        <v>344</v>
      </c>
      <c r="C13" s="125" t="e">
        <f>C.RESULTAT!I35/C.RESULTAT!I39</f>
        <v>#DIV/0!</v>
      </c>
      <c r="D13" s="125" t="e">
        <f>C.RESULTAT!J35/C.RESULTAT!J39</f>
        <v>#DIV/0!</v>
      </c>
      <c r="E13" s="125" t="e">
        <f>C.RESULTAT!K35/C.RESULTAT!K39</f>
        <v>#DIV/0!</v>
      </c>
      <c r="F13" s="119" t="e">
        <f t="shared" si="0"/>
        <v>#DIV/0!</v>
      </c>
      <c r="G13" s="119" t="e">
        <f t="shared" si="0"/>
        <v>#DIV/0!</v>
      </c>
      <c r="H13" s="121"/>
      <c r="J13" s="121"/>
      <c r="L13" s="122"/>
      <c r="M13" s="123"/>
    </row>
    <row r="14" spans="2:13" x14ac:dyDescent="0.2">
      <c r="B14" s="126" t="e">
        <f>#REF!</f>
        <v>#REF!</v>
      </c>
      <c r="F14" s="127"/>
      <c r="G14" s="127"/>
    </row>
    <row r="15" spans="2:13" ht="18" customHeight="1" x14ac:dyDescent="0.2">
      <c r="B15" s="114" t="s">
        <v>345</v>
      </c>
      <c r="C15" s="115" t="str">
        <f>C1</f>
        <v>31/12/N</v>
      </c>
      <c r="D15" s="115" t="str">
        <f t="shared" ref="D15:E15" si="1">D1</f>
        <v>31/12/N-1</v>
      </c>
      <c r="E15" s="115" t="str">
        <f t="shared" si="1"/>
        <v>31/12/N-2</v>
      </c>
      <c r="F15" s="116" t="s">
        <v>332</v>
      </c>
      <c r="G15" s="116" t="s">
        <v>332</v>
      </c>
    </row>
    <row r="16" spans="2:13" s="120" customFormat="1" ht="15.95" customHeight="1" x14ac:dyDescent="0.25">
      <c r="B16" s="128" t="s">
        <v>346</v>
      </c>
      <c r="C16" s="129">
        <f>C.RESULTAT!I16</f>
        <v>0</v>
      </c>
      <c r="D16" s="129">
        <f>C.RESULTAT!J16</f>
        <v>0</v>
      </c>
      <c r="E16" s="129">
        <f>C.RESULTAT!K16</f>
        <v>0</v>
      </c>
      <c r="F16" s="130" t="e">
        <f t="shared" ref="F16:G31" si="2">+(C16-D16)/D16</f>
        <v>#DIV/0!</v>
      </c>
      <c r="G16" s="130" t="e">
        <f t="shared" si="2"/>
        <v>#DIV/0!</v>
      </c>
      <c r="H16" s="121"/>
      <c r="J16" s="121"/>
      <c r="L16" s="131"/>
      <c r="M16" s="123"/>
    </row>
    <row r="17" spans="2:13" s="120" customFormat="1" ht="15.95" customHeight="1" x14ac:dyDescent="0.25">
      <c r="B17" s="128" t="s">
        <v>347</v>
      </c>
      <c r="C17" s="129">
        <f>C.RESULTAT!I32</f>
        <v>0</v>
      </c>
      <c r="D17" s="129">
        <f>C.RESULTAT!J32</f>
        <v>0</v>
      </c>
      <c r="E17" s="129">
        <f>C.RESULTAT!K32</f>
        <v>0</v>
      </c>
      <c r="F17" s="130" t="e">
        <f>+(C17-D17)/D17</f>
        <v>#DIV/0!</v>
      </c>
      <c r="G17" s="130" t="e">
        <f>+(D17-E17)/E17</f>
        <v>#DIV/0!</v>
      </c>
      <c r="H17" s="121"/>
      <c r="J17" s="121"/>
      <c r="L17" s="131"/>
      <c r="M17" s="123"/>
    </row>
    <row r="18" spans="2:13" s="120" customFormat="1" ht="15.95" customHeight="1" x14ac:dyDescent="0.25">
      <c r="B18" s="128" t="s">
        <v>348</v>
      </c>
      <c r="C18" s="129">
        <f>C.RESULTAT!I35</f>
        <v>0</v>
      </c>
      <c r="D18" s="129">
        <f>C.RESULTAT!J35</f>
        <v>0</v>
      </c>
      <c r="E18" s="129">
        <f>C.RESULTAT!K35</f>
        <v>0</v>
      </c>
      <c r="F18" s="130" t="e">
        <f t="shared" si="2"/>
        <v>#DIV/0!</v>
      </c>
      <c r="G18" s="130" t="e">
        <f t="shared" si="2"/>
        <v>#DIV/0!</v>
      </c>
      <c r="H18" s="121"/>
      <c r="J18" s="121"/>
      <c r="L18" s="131"/>
      <c r="M18" s="123"/>
    </row>
    <row r="19" spans="2:13" s="120" customFormat="1" ht="15.95" customHeight="1" x14ac:dyDescent="0.25">
      <c r="B19" s="128" t="s">
        <v>349</v>
      </c>
      <c r="C19" s="129">
        <f>C10</f>
        <v>0</v>
      </c>
      <c r="D19" s="129">
        <f t="shared" ref="D19:E19" si="3">D10</f>
        <v>0</v>
      </c>
      <c r="E19" s="129">
        <f t="shared" si="3"/>
        <v>0</v>
      </c>
      <c r="F19" s="130" t="e">
        <f t="shared" si="2"/>
        <v>#DIV/0!</v>
      </c>
      <c r="G19" s="130" t="e">
        <f t="shared" si="2"/>
        <v>#DIV/0!</v>
      </c>
      <c r="H19" s="121"/>
      <c r="J19" s="121"/>
      <c r="L19" s="131"/>
      <c r="M19" s="123"/>
    </row>
    <row r="20" spans="2:13" s="120" customFormat="1" ht="15.95" customHeight="1" x14ac:dyDescent="0.25">
      <c r="B20" s="128" t="s">
        <v>350</v>
      </c>
      <c r="C20" s="129">
        <f>C.RESULTAT!I39</f>
        <v>0</v>
      </c>
      <c r="D20" s="129">
        <f>C.RESULTAT!J39</f>
        <v>0</v>
      </c>
      <c r="E20" s="129">
        <f>C.RESULTAT!K39</f>
        <v>0</v>
      </c>
      <c r="F20" s="130" t="e">
        <f t="shared" si="2"/>
        <v>#DIV/0!</v>
      </c>
      <c r="G20" s="130" t="e">
        <f t="shared" si="2"/>
        <v>#DIV/0!</v>
      </c>
      <c r="H20" s="121"/>
      <c r="J20" s="121"/>
      <c r="L20" s="131"/>
      <c r="M20" s="123"/>
    </row>
    <row r="21" spans="2:13" s="120" customFormat="1" ht="15.95" customHeight="1" x14ac:dyDescent="0.25">
      <c r="B21" s="128" t="s">
        <v>342</v>
      </c>
      <c r="C21" s="129">
        <f>C.RESULTAT!I50</f>
        <v>0</v>
      </c>
      <c r="D21" s="129">
        <f>C.RESULTAT!J50</f>
        <v>0</v>
      </c>
      <c r="E21" s="129">
        <f>C.RESULTAT!K50</f>
        <v>0</v>
      </c>
      <c r="F21" s="130" t="e">
        <f>+(C21-D21)/D21</f>
        <v>#DIV/0!</v>
      </c>
      <c r="G21" s="130" t="e">
        <f t="shared" si="2"/>
        <v>#DIV/0!</v>
      </c>
      <c r="M21" s="123"/>
    </row>
    <row r="22" spans="2:13" s="120" customFormat="1" ht="15.95" customHeight="1" x14ac:dyDescent="0.25">
      <c r="B22" s="117" t="s">
        <v>351</v>
      </c>
      <c r="C22" s="132">
        <f>'BILAN '!N21</f>
        <v>0</v>
      </c>
      <c r="D22" s="132">
        <f>'BILAN '!O21</f>
        <v>0</v>
      </c>
      <c r="E22" s="132">
        <f>'BILAN '!P21</f>
        <v>0</v>
      </c>
      <c r="F22" s="130" t="e">
        <f t="shared" si="2"/>
        <v>#DIV/0!</v>
      </c>
      <c r="G22" s="130" t="e">
        <f t="shared" si="2"/>
        <v>#DIV/0!</v>
      </c>
      <c r="H22" s="121"/>
      <c r="J22" s="121"/>
      <c r="L22" s="131"/>
      <c r="M22" s="123"/>
    </row>
    <row r="23" spans="2:13" s="120" customFormat="1" ht="15.95" customHeight="1" x14ac:dyDescent="0.25">
      <c r="B23" s="128" t="s">
        <v>352</v>
      </c>
      <c r="C23" s="133" t="e">
        <f>'BILAN '!N18/'BILAN '!N35</f>
        <v>#DIV/0!</v>
      </c>
      <c r="D23" s="133" t="e">
        <f>'BILAN '!O18/'BILAN '!O35</f>
        <v>#DIV/0!</v>
      </c>
      <c r="E23" s="133" t="e">
        <f>'BILAN '!P18/'BILAN '!P35</f>
        <v>#DIV/0!</v>
      </c>
      <c r="F23" s="130" t="e">
        <f t="shared" si="2"/>
        <v>#DIV/0!</v>
      </c>
      <c r="G23" s="130" t="e">
        <f t="shared" si="2"/>
        <v>#DIV/0!</v>
      </c>
      <c r="H23" s="121"/>
      <c r="J23" s="121"/>
      <c r="L23" s="131"/>
      <c r="M23" s="123"/>
    </row>
    <row r="24" spans="2:13" s="120" customFormat="1" ht="15.95" customHeight="1" x14ac:dyDescent="0.25">
      <c r="B24" s="128" t="s">
        <v>353</v>
      </c>
      <c r="C24" s="132">
        <f>'BILAN '!N17</f>
        <v>0</v>
      </c>
      <c r="D24" s="132">
        <f>'BILAN '!O17</f>
        <v>0</v>
      </c>
      <c r="E24" s="132">
        <f>'BILAN '!P17</f>
        <v>0</v>
      </c>
      <c r="F24" s="130" t="e">
        <f t="shared" si="2"/>
        <v>#DIV/0!</v>
      </c>
      <c r="G24" s="130" t="e">
        <f t="shared" si="2"/>
        <v>#DIV/0!</v>
      </c>
      <c r="H24" s="121"/>
      <c r="J24" s="121"/>
      <c r="L24" s="131"/>
      <c r="M24" s="123"/>
    </row>
    <row r="25" spans="2:13" s="120" customFormat="1" ht="15.95" customHeight="1" x14ac:dyDescent="0.25">
      <c r="B25" s="128" t="s">
        <v>354</v>
      </c>
      <c r="C25" s="133" t="e">
        <f>C24/C22</f>
        <v>#DIV/0!</v>
      </c>
      <c r="D25" s="133" t="e">
        <f t="shared" ref="D25:E25" si="4">D24/D22</f>
        <v>#DIV/0!</v>
      </c>
      <c r="E25" s="133" t="e">
        <f t="shared" si="4"/>
        <v>#DIV/0!</v>
      </c>
      <c r="F25" s="130" t="e">
        <f t="shared" si="2"/>
        <v>#DIV/0!</v>
      </c>
      <c r="G25" s="130" t="e">
        <f t="shared" si="2"/>
        <v>#DIV/0!</v>
      </c>
      <c r="H25" s="121"/>
      <c r="J25" s="121"/>
      <c r="L25" s="131"/>
      <c r="M25" s="123"/>
    </row>
    <row r="26" spans="2:13" s="120" customFormat="1" ht="15.95" customHeight="1" x14ac:dyDescent="0.25">
      <c r="B26" s="128" t="s">
        <v>355</v>
      </c>
      <c r="C26" s="133" t="e">
        <f>-C20/C16</f>
        <v>#DIV/0!</v>
      </c>
      <c r="D26" s="133" t="e">
        <f t="shared" ref="D26:E26" si="5">-D20/D16</f>
        <v>#DIV/0!</v>
      </c>
      <c r="E26" s="133" t="e">
        <f t="shared" si="5"/>
        <v>#DIV/0!</v>
      </c>
      <c r="F26" s="130" t="e">
        <f t="shared" si="2"/>
        <v>#DIV/0!</v>
      </c>
      <c r="G26" s="130" t="e">
        <f t="shared" si="2"/>
        <v>#DIV/0!</v>
      </c>
      <c r="H26" s="121"/>
      <c r="J26" s="121"/>
      <c r="L26" s="131"/>
      <c r="M26" s="123"/>
    </row>
    <row r="27" spans="2:13" s="120" customFormat="1" ht="15.95" customHeight="1" x14ac:dyDescent="0.25">
      <c r="B27" s="128" t="s">
        <v>356</v>
      </c>
      <c r="C27" s="133" t="e">
        <f>-C20/C18</f>
        <v>#DIV/0!</v>
      </c>
      <c r="D27" s="133" t="e">
        <f t="shared" ref="D27:E27" si="6">-D20/D18</f>
        <v>#DIV/0!</v>
      </c>
      <c r="E27" s="133" t="e">
        <f t="shared" si="6"/>
        <v>#DIV/0!</v>
      </c>
      <c r="F27" s="130" t="e">
        <f t="shared" si="2"/>
        <v>#DIV/0!</v>
      </c>
      <c r="G27" s="130" t="e">
        <f t="shared" si="2"/>
        <v>#DIV/0!</v>
      </c>
      <c r="H27" s="121"/>
      <c r="J27" s="121"/>
      <c r="L27" s="131"/>
      <c r="M27" s="123"/>
    </row>
    <row r="28" spans="2:13" s="120" customFormat="1" ht="15.95" customHeight="1" x14ac:dyDescent="0.25">
      <c r="B28" s="128" t="s">
        <v>357</v>
      </c>
      <c r="C28" s="132">
        <f>+'BILAN '!H27</f>
        <v>0</v>
      </c>
      <c r="D28" s="132">
        <f>+'BILAN '!I27</f>
        <v>0</v>
      </c>
      <c r="E28" s="132">
        <f>+'BILAN '!J27</f>
        <v>0</v>
      </c>
      <c r="F28" s="130" t="e">
        <f t="shared" si="2"/>
        <v>#DIV/0!</v>
      </c>
      <c r="G28" s="130" t="e">
        <f t="shared" si="2"/>
        <v>#DIV/0!</v>
      </c>
      <c r="H28" s="121"/>
      <c r="J28" s="121"/>
      <c r="L28" s="131"/>
      <c r="M28" s="123"/>
    </row>
    <row r="29" spans="2:13" s="120" customFormat="1" ht="15.95" customHeight="1" x14ac:dyDescent="0.25">
      <c r="B29" s="128" t="s">
        <v>358</v>
      </c>
      <c r="C29" s="132">
        <f>+'BILAN '!N25</f>
        <v>0</v>
      </c>
      <c r="D29" s="132">
        <f>+'BILAN '!O25</f>
        <v>0</v>
      </c>
      <c r="E29" s="132">
        <f>+'BILAN '!P25</f>
        <v>0</v>
      </c>
      <c r="F29" s="130" t="e">
        <f t="shared" si="2"/>
        <v>#DIV/0!</v>
      </c>
      <c r="G29" s="130" t="e">
        <f t="shared" si="2"/>
        <v>#DIV/0!</v>
      </c>
      <c r="H29" s="121"/>
      <c r="J29" s="121"/>
      <c r="L29" s="131"/>
      <c r="M29" s="123"/>
    </row>
    <row r="30" spans="2:13" s="120" customFormat="1" ht="15.95" customHeight="1" x14ac:dyDescent="0.25">
      <c r="B30" s="128" t="s">
        <v>335</v>
      </c>
      <c r="C30" s="132">
        <f>+'BILAN '!N22-'BILAN '!H22</f>
        <v>0</v>
      </c>
      <c r="D30" s="132">
        <f>+'BILAN '!O22-'BILAN '!I22</f>
        <v>0</v>
      </c>
      <c r="E30" s="132">
        <f>+'BILAN '!P22-'BILAN '!J22</f>
        <v>0</v>
      </c>
      <c r="F30" s="130" t="e">
        <f t="shared" si="2"/>
        <v>#DIV/0!</v>
      </c>
      <c r="G30" s="130" t="e">
        <f t="shared" si="2"/>
        <v>#DIV/0!</v>
      </c>
      <c r="H30" s="121"/>
      <c r="J30" s="121"/>
      <c r="L30" s="131"/>
      <c r="M30" s="123"/>
    </row>
    <row r="31" spans="2:13" s="120" customFormat="1" ht="15.95" customHeight="1" x14ac:dyDescent="0.25">
      <c r="B31" s="128" t="s">
        <v>359</v>
      </c>
      <c r="C31" s="132">
        <f>+'BILAN '!H29-'BILAN '!N29</f>
        <v>0</v>
      </c>
      <c r="D31" s="132">
        <f>+'BILAN '!I29-'BILAN '!O29</f>
        <v>0</v>
      </c>
      <c r="E31" s="132">
        <f>+'BILAN '!J29-'BILAN '!P29</f>
        <v>0</v>
      </c>
      <c r="F31" s="130" t="e">
        <f t="shared" si="2"/>
        <v>#DIV/0!</v>
      </c>
      <c r="G31" s="130" t="e">
        <f t="shared" si="2"/>
        <v>#DIV/0!</v>
      </c>
      <c r="H31" s="121"/>
      <c r="J31" s="121"/>
      <c r="L31" s="131"/>
      <c r="M31" s="123"/>
    </row>
    <row r="32" spans="2:13" s="120" customFormat="1" ht="15.95" customHeight="1" x14ac:dyDescent="0.25">
      <c r="B32" s="128" t="s">
        <v>360</v>
      </c>
      <c r="C32" s="132" t="e">
        <f>+'Ratios '!C3</f>
        <v>#DIV/0!</v>
      </c>
      <c r="D32" s="132" t="e">
        <f>+'Ratios '!D3</f>
        <v>#DIV/0!</v>
      </c>
      <c r="E32" s="132" t="e">
        <f>+'Ratios '!E3</f>
        <v>#DIV/0!</v>
      </c>
      <c r="F32" s="134" t="e">
        <f t="shared" ref="F32:G34" si="7">+AVERAGE(C32:D32)</f>
        <v>#DIV/0!</v>
      </c>
      <c r="G32" s="134" t="e">
        <f t="shared" si="7"/>
        <v>#DIV/0!</v>
      </c>
      <c r="H32" s="121"/>
      <c r="J32" s="121"/>
      <c r="L32" s="131"/>
      <c r="M32" s="123"/>
    </row>
    <row r="33" spans="2:16" s="120" customFormat="1" ht="15.95" customHeight="1" x14ac:dyDescent="0.25">
      <c r="B33" s="128" t="s">
        <v>361</v>
      </c>
      <c r="C33" s="135" t="e">
        <f>'Ratios '!C5</f>
        <v>#DIV/0!</v>
      </c>
      <c r="D33" s="135" t="e">
        <f>'Ratios '!D5</f>
        <v>#DIV/0!</v>
      </c>
      <c r="E33" s="135" t="e">
        <f>'Ratios '!E5</f>
        <v>#DIV/0!</v>
      </c>
      <c r="F33" s="134" t="e">
        <f t="shared" si="7"/>
        <v>#DIV/0!</v>
      </c>
      <c r="G33" s="134" t="e">
        <f t="shared" si="7"/>
        <v>#DIV/0!</v>
      </c>
      <c r="H33" s="121"/>
      <c r="J33" s="121"/>
      <c r="L33" s="131"/>
      <c r="M33" s="123"/>
    </row>
    <row r="34" spans="2:16" s="120" customFormat="1" ht="15.95" customHeight="1" x14ac:dyDescent="0.25">
      <c r="B34" s="128" t="s">
        <v>362</v>
      </c>
      <c r="C34" s="135" t="e">
        <f>'Ratios '!C4</f>
        <v>#DIV/0!</v>
      </c>
      <c r="D34" s="135" t="e">
        <f>'Ratios '!D4</f>
        <v>#DIV/0!</v>
      </c>
      <c r="E34" s="135" t="e">
        <f>'Ratios '!E4</f>
        <v>#DIV/0!</v>
      </c>
      <c r="F34" s="134" t="e">
        <f t="shared" si="7"/>
        <v>#DIV/0!</v>
      </c>
      <c r="G34" s="134" t="e">
        <f>+AVERAGE(D34:E34)</f>
        <v>#DIV/0!</v>
      </c>
      <c r="H34" s="121"/>
      <c r="J34" s="121"/>
      <c r="L34" s="131"/>
      <c r="M34" s="123"/>
    </row>
    <row r="35" spans="2:16" ht="12.75" thickBot="1" x14ac:dyDescent="0.25"/>
    <row r="36" spans="2:16" ht="9" customHeight="1" thickBot="1" x14ac:dyDescent="0.25">
      <c r="B36" s="283" t="s">
        <v>363</v>
      </c>
      <c r="C36" s="284"/>
      <c r="D36" s="285"/>
      <c r="E36" s="266" t="s">
        <v>364</v>
      </c>
      <c r="F36" s="267"/>
      <c r="G36" s="268"/>
      <c r="H36" s="266" t="s">
        <v>365</v>
      </c>
      <c r="I36" s="267"/>
      <c r="J36" s="268"/>
    </row>
    <row r="37" spans="2:16" ht="12" customHeight="1" thickBot="1" x14ac:dyDescent="0.25">
      <c r="B37" s="286"/>
      <c r="C37" s="287"/>
      <c r="D37" s="288"/>
      <c r="E37" s="137" t="s">
        <v>366</v>
      </c>
      <c r="F37" s="138" t="s">
        <v>367</v>
      </c>
      <c r="G37" s="138" t="s">
        <v>368</v>
      </c>
      <c r="H37" s="139" t="s">
        <v>366</v>
      </c>
      <c r="I37" s="138" t="s">
        <v>367</v>
      </c>
      <c r="J37" s="140" t="s">
        <v>368</v>
      </c>
    </row>
    <row r="38" spans="2:16" ht="22.5" customHeight="1" thickBot="1" x14ac:dyDescent="0.25">
      <c r="B38" s="289"/>
      <c r="C38" s="290"/>
      <c r="D38" s="291"/>
      <c r="E38" s="269" t="s">
        <v>369</v>
      </c>
      <c r="F38" s="270"/>
      <c r="G38" s="271"/>
      <c r="H38" s="269" t="s">
        <v>369</v>
      </c>
      <c r="I38" s="270"/>
      <c r="J38" s="271"/>
    </row>
    <row r="39" spans="2:16" ht="36" customHeight="1" thickBot="1" x14ac:dyDescent="0.25">
      <c r="B39" s="141" t="s">
        <v>370</v>
      </c>
      <c r="C39" s="142" t="e">
        <f>C17/C16</f>
        <v>#DIV/0!</v>
      </c>
      <c r="D39" s="143" t="e">
        <f>D17/D16</f>
        <v>#DIV/0!</v>
      </c>
      <c r="E39" s="144">
        <v>15</v>
      </c>
      <c r="F39" s="144">
        <v>20</v>
      </c>
      <c r="G39" s="144">
        <v>30</v>
      </c>
      <c r="H39" s="144">
        <v>20</v>
      </c>
      <c r="I39" s="145">
        <v>30</v>
      </c>
      <c r="J39" s="146">
        <v>40</v>
      </c>
    </row>
    <row r="40" spans="2:16" ht="39" customHeight="1" thickBot="1" x14ac:dyDescent="0.25">
      <c r="B40" s="141" t="s">
        <v>371</v>
      </c>
      <c r="C40" s="147" t="e">
        <f>'BILAN '!N17/'BILAN '!N22</f>
        <v>#DIV/0!</v>
      </c>
      <c r="D40" s="147" t="e">
        <f>'BILAN '!O17/'BILAN '!O22</f>
        <v>#DIV/0!</v>
      </c>
      <c r="E40" s="144" t="s">
        <v>372</v>
      </c>
      <c r="F40" s="145" t="s">
        <v>373</v>
      </c>
      <c r="G40" s="144" t="s">
        <v>374</v>
      </c>
      <c r="H40" s="146" t="s">
        <v>374</v>
      </c>
      <c r="I40" s="145" t="s">
        <v>374</v>
      </c>
      <c r="J40" s="146" t="s">
        <v>374</v>
      </c>
    </row>
    <row r="41" spans="2:16" ht="37.5" customHeight="1" thickBot="1" x14ac:dyDescent="0.25">
      <c r="B41" s="148" t="s">
        <v>375</v>
      </c>
      <c r="C41" s="149" t="e">
        <f>C22/C10</f>
        <v>#DIV/0!</v>
      </c>
      <c r="D41" s="149" t="e">
        <f>D22/D10</f>
        <v>#DIV/0!</v>
      </c>
      <c r="E41" s="144" t="s">
        <v>376</v>
      </c>
      <c r="F41" s="145" t="s">
        <v>377</v>
      </c>
      <c r="G41" s="144" t="s">
        <v>378</v>
      </c>
      <c r="H41" s="146" t="s">
        <v>377</v>
      </c>
      <c r="I41" s="145" t="s">
        <v>378</v>
      </c>
      <c r="J41" s="146" t="s">
        <v>378</v>
      </c>
    </row>
    <row r="42" spans="2:16" ht="39.75" customHeight="1" thickBot="1" x14ac:dyDescent="0.25">
      <c r="B42" s="148" t="s">
        <v>379</v>
      </c>
      <c r="C42" s="150" t="e">
        <f>'Accords de classement'!C7</f>
        <v>#DIV/0!</v>
      </c>
      <c r="D42" s="150" t="e">
        <f>'Accords de classement'!D7</f>
        <v>#DIV/0!</v>
      </c>
      <c r="E42" s="144" t="s">
        <v>380</v>
      </c>
      <c r="F42" s="144" t="s">
        <v>380</v>
      </c>
      <c r="G42" s="144" t="s">
        <v>380</v>
      </c>
      <c r="H42" s="146" t="s">
        <v>380</v>
      </c>
      <c r="I42" s="144" t="s">
        <v>380</v>
      </c>
      <c r="J42" s="146" t="s">
        <v>380</v>
      </c>
    </row>
    <row r="43" spans="2:16" ht="6.75" customHeight="1" thickBot="1" x14ac:dyDescent="0.25">
      <c r="B43" s="106"/>
    </row>
    <row r="44" spans="2:16" ht="15.75" thickBot="1" x14ac:dyDescent="0.25">
      <c r="B44" s="153"/>
      <c r="C44" s="154"/>
      <c r="D44" s="272" t="s">
        <v>381</v>
      </c>
      <c r="E44" s="273"/>
      <c r="F44" s="274"/>
      <c r="N44" s="155"/>
      <c r="O44" s="155"/>
      <c r="P44" s="156"/>
    </row>
    <row r="45" spans="2:16" ht="15.75" thickBot="1" x14ac:dyDescent="0.25">
      <c r="B45" s="275"/>
      <c r="C45" s="276"/>
      <c r="D45" s="157" t="s">
        <v>366</v>
      </c>
      <c r="E45" s="157" t="s">
        <v>367</v>
      </c>
      <c r="F45" s="157" t="s">
        <v>368</v>
      </c>
      <c r="N45" s="151"/>
      <c r="O45" s="151"/>
      <c r="P45" s="152"/>
    </row>
    <row r="46" spans="2:16" ht="60" x14ac:dyDescent="0.2">
      <c r="B46" s="277" t="s">
        <v>382</v>
      </c>
      <c r="C46" s="278"/>
      <c r="D46" s="158" t="s">
        <v>383</v>
      </c>
      <c r="E46" s="158" t="s">
        <v>384</v>
      </c>
      <c r="F46" s="159"/>
      <c r="N46" s="151"/>
      <c r="O46" s="151"/>
      <c r="P46" s="152"/>
    </row>
    <row r="47" spans="2:16" ht="24" x14ac:dyDescent="0.2">
      <c r="B47" s="279"/>
      <c r="C47" s="280"/>
      <c r="D47" s="160"/>
      <c r="E47" s="160"/>
      <c r="F47" s="161" t="s">
        <v>385</v>
      </c>
      <c r="N47" s="151"/>
      <c r="O47" s="155"/>
      <c r="P47" s="152"/>
    </row>
    <row r="48" spans="2:16" ht="60" x14ac:dyDescent="0.2">
      <c r="B48" s="279"/>
      <c r="C48" s="280"/>
      <c r="D48" s="158" t="s">
        <v>386</v>
      </c>
      <c r="E48" s="158" t="s">
        <v>387</v>
      </c>
      <c r="F48" s="159" t="s">
        <v>388</v>
      </c>
      <c r="N48" s="151"/>
      <c r="O48" s="151"/>
      <c r="P48" s="152"/>
    </row>
    <row r="49" spans="2:16" ht="15" x14ac:dyDescent="0.2">
      <c r="B49" s="279"/>
      <c r="C49" s="280"/>
      <c r="D49" s="160"/>
      <c r="E49" s="160"/>
      <c r="F49" s="161"/>
      <c r="N49" s="151"/>
      <c r="O49" s="151"/>
      <c r="P49" s="152"/>
    </row>
    <row r="50" spans="2:16" ht="24" x14ac:dyDescent="0.2">
      <c r="B50" s="279"/>
      <c r="C50" s="280"/>
      <c r="D50" s="158" t="s">
        <v>389</v>
      </c>
      <c r="E50" s="158" t="s">
        <v>390</v>
      </c>
      <c r="F50" s="161" t="s">
        <v>391</v>
      </c>
      <c r="N50" s="151"/>
      <c r="O50" s="151"/>
      <c r="P50" s="152"/>
    </row>
    <row r="51" spans="2:16" ht="15" x14ac:dyDescent="0.2">
      <c r="B51" s="279"/>
      <c r="C51" s="280"/>
      <c r="D51" s="160"/>
      <c r="E51" s="160"/>
      <c r="F51" s="160"/>
      <c r="N51" s="151"/>
      <c r="O51" s="151"/>
      <c r="P51" s="152"/>
    </row>
    <row r="52" spans="2:16" ht="60" x14ac:dyDescent="0.2">
      <c r="B52" s="279"/>
      <c r="C52" s="280"/>
      <c r="D52" s="158" t="s">
        <v>392</v>
      </c>
      <c r="E52" s="158" t="s">
        <v>393</v>
      </c>
      <c r="F52" s="160"/>
      <c r="N52" s="151"/>
      <c r="O52" s="151"/>
      <c r="P52" s="152"/>
    </row>
    <row r="53" spans="2:16" ht="15" x14ac:dyDescent="0.2">
      <c r="B53" s="279"/>
      <c r="C53" s="280"/>
      <c r="D53" s="160"/>
      <c r="E53" s="160"/>
      <c r="F53" s="160"/>
      <c r="N53" s="151"/>
      <c r="O53" s="151"/>
      <c r="P53" s="151"/>
    </row>
    <row r="54" spans="2:16" ht="35.25" customHeight="1" thickBot="1" x14ac:dyDescent="0.25">
      <c r="B54" s="281"/>
      <c r="C54" s="282"/>
      <c r="D54" s="162" t="s">
        <v>394</v>
      </c>
      <c r="E54" s="163"/>
      <c r="F54" s="163"/>
      <c r="N54" s="151"/>
      <c r="O54" s="155"/>
      <c r="P54" s="152"/>
    </row>
    <row r="55" spans="2:16" ht="23.25" thickBot="1" x14ac:dyDescent="0.25">
      <c r="B55" s="292" t="s">
        <v>395</v>
      </c>
      <c r="C55" s="293"/>
      <c r="D55" s="164" t="s">
        <v>396</v>
      </c>
      <c r="E55" s="164" t="s">
        <v>397</v>
      </c>
      <c r="F55" s="164" t="s">
        <v>398</v>
      </c>
      <c r="N55" s="151"/>
      <c r="O55" s="151"/>
      <c r="P55" s="151"/>
    </row>
    <row r="56" spans="2:16" ht="45.75" thickBot="1" x14ac:dyDescent="0.25">
      <c r="B56" s="292" t="s">
        <v>399</v>
      </c>
      <c r="C56" s="293"/>
      <c r="D56" s="164" t="s">
        <v>400</v>
      </c>
      <c r="E56" s="164" t="s">
        <v>400</v>
      </c>
      <c r="F56" s="164" t="s">
        <v>401</v>
      </c>
    </row>
    <row r="57" spans="2:16" ht="12.75" thickBot="1" x14ac:dyDescent="0.25">
      <c r="B57" s="294" t="s">
        <v>402</v>
      </c>
      <c r="C57" s="295"/>
      <c r="D57" s="165" t="s">
        <v>403</v>
      </c>
      <c r="E57" s="165" t="s">
        <v>404</v>
      </c>
      <c r="F57" s="165" t="s">
        <v>405</v>
      </c>
    </row>
    <row r="58" spans="2:16" ht="12.75" thickBot="1" x14ac:dyDescent="0.25">
      <c r="B58" s="294" t="s">
        <v>406</v>
      </c>
      <c r="C58" s="295"/>
      <c r="D58" s="165" t="s">
        <v>407</v>
      </c>
      <c r="E58" s="165" t="s">
        <v>408</v>
      </c>
      <c r="F58" s="165" t="s">
        <v>409</v>
      </c>
    </row>
    <row r="59" spans="2:16" ht="48.75" thickBot="1" x14ac:dyDescent="0.25">
      <c r="B59" s="294" t="s">
        <v>410</v>
      </c>
      <c r="C59" s="295"/>
      <c r="D59" s="166" t="s">
        <v>411</v>
      </c>
      <c r="E59" s="166" t="s">
        <v>412</v>
      </c>
      <c r="F59" s="166" t="s">
        <v>413</v>
      </c>
    </row>
  </sheetData>
  <mergeCells count="13">
    <mergeCell ref="B57:C57"/>
    <mergeCell ref="B58:C58"/>
    <mergeCell ref="B59:C59"/>
    <mergeCell ref="B46:C54"/>
    <mergeCell ref="B36:D38"/>
    <mergeCell ref="E36:G36"/>
    <mergeCell ref="B55:C55"/>
    <mergeCell ref="B56:C56"/>
    <mergeCell ref="H36:J36"/>
    <mergeCell ref="E38:G38"/>
    <mergeCell ref="H38:J38"/>
    <mergeCell ref="D44:F44"/>
    <mergeCell ref="B45:C45"/>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BILAN </vt:lpstr>
      <vt:lpstr>C.RESULTAT</vt:lpstr>
      <vt:lpstr>TFT</vt:lpstr>
      <vt:lpstr>Accords de classement</vt:lpstr>
      <vt:lpstr>Ratios </vt:lpstr>
      <vt:lpstr>Résume Financier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Yeya Abdoulaye</cp:lastModifiedBy>
  <cp:revision>0</cp:revision>
  <dcterms:created xsi:type="dcterms:W3CDTF">2026-07-02T23:15:34Z</dcterms:created>
  <dcterms:modified xsi:type="dcterms:W3CDTF">2026-07-03T21:10:02Z</dcterms:modified>
  <dc:language>en-US</dc:language>
</cp:coreProperties>
</file>